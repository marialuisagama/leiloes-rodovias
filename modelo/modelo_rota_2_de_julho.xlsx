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5fe6d64de7cba42/Área de Trabalho/Github/rodovias/04_modelo/"/>
    </mc:Choice>
  </mc:AlternateContent>
  <xr:revisionPtr revIDLastSave="379" documentId="11_ED67FD4CAE2B24BF2E7AAE9A2D0866F6CC48F766" xr6:coauthVersionLast="47" xr6:coauthVersionMax="47" xr10:uidLastSave="{324219C1-CAE5-4C51-B01A-032343D72ADD}"/>
  <bookViews>
    <workbookView xWindow="9510" yWindow="0" windowWidth="9780" windowHeight="11370" xr2:uid="{00000000-000D-0000-FFFF-FFFF00000000}"/>
  </bookViews>
  <sheets>
    <sheet name="0. Capa" sheetId="1" r:id="rId1"/>
    <sheet name="1. Premissas" sheetId="2" r:id="rId2"/>
    <sheet name="2. Cenários" sheetId="3" r:id="rId3"/>
    <sheet name="Dados_MEF" sheetId="4" r:id="rId4"/>
    <sheet name="3. Receita" sheetId="5" r:id="rId5"/>
    <sheet name="4. Custos" sheetId="6" r:id="rId6"/>
    <sheet name="5. Caixa" sheetId="7" r:id="rId7"/>
    <sheet name="6. Dívida" sheetId="8" r:id="rId8"/>
    <sheet name="7. Retornos" sheetId="9" r:id="rId9"/>
    <sheet name="8. Sensibilidades" sheetId="10" r:id="rId10"/>
    <sheet name="9. Checage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E12" i="9"/>
  <c r="F12" i="9"/>
  <c r="G12" i="9"/>
  <c r="H12" i="9"/>
  <c r="I12" i="9"/>
  <c r="J12" i="9"/>
  <c r="K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D12" i="9"/>
  <c r="E11" i="8"/>
  <c r="F11" i="8"/>
  <c r="G11" i="8"/>
  <c r="H11" i="8"/>
  <c r="I11" i="8"/>
  <c r="J11" i="8"/>
  <c r="K11" i="8"/>
  <c r="AB11" i="8"/>
  <c r="AC11" i="8"/>
  <c r="AD11" i="8"/>
  <c r="AE11" i="8"/>
  <c r="AF11" i="8"/>
  <c r="AG11" i="8"/>
  <c r="D11" i="8"/>
  <c r="L10" i="8"/>
  <c r="L7" i="9" s="1"/>
  <c r="M10" i="8"/>
  <c r="M7" i="9" s="1"/>
  <c r="N10" i="8"/>
  <c r="N7" i="9" s="1"/>
  <c r="O10" i="8"/>
  <c r="O7" i="9" s="1"/>
  <c r="P10" i="8"/>
  <c r="P7" i="9" s="1"/>
  <c r="Q10" i="8"/>
  <c r="Q7" i="9" s="1"/>
  <c r="R10" i="8"/>
  <c r="R7" i="9" s="1"/>
  <c r="S10" i="8"/>
  <c r="S7" i="9" s="1"/>
  <c r="T10" i="8"/>
  <c r="T7" i="9" s="1"/>
  <c r="U10" i="8"/>
  <c r="U7" i="9" s="1"/>
  <c r="V10" i="8"/>
  <c r="V7" i="9" s="1"/>
  <c r="W10" i="8"/>
  <c r="W7" i="9" s="1"/>
  <c r="X10" i="8"/>
  <c r="X7" i="9" s="1"/>
  <c r="Y10" i="8"/>
  <c r="Y7" i="9" s="1"/>
  <c r="Z10" i="8"/>
  <c r="Z7" i="9" s="1"/>
  <c r="AA10" i="8"/>
  <c r="AA7" i="9" s="1"/>
  <c r="AB10" i="8"/>
  <c r="AB7" i="9" s="1"/>
  <c r="AC10" i="8"/>
  <c r="AC7" i="9" s="1"/>
  <c r="AD10" i="8"/>
  <c r="AD7" i="9" s="1"/>
  <c r="AE10" i="8"/>
  <c r="AE7" i="9" s="1"/>
  <c r="AF10" i="8"/>
  <c r="AF7" i="9" s="1"/>
  <c r="AG10" i="8"/>
  <c r="AG7" i="9" s="1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D9" i="8"/>
  <c r="D6" i="8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D6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D13" i="5"/>
  <c r="D7" i="5"/>
  <c r="E6" i="3"/>
  <c r="E7" i="3"/>
  <c r="E8" i="3"/>
  <c r="C17" i="8" s="1"/>
  <c r="D13" i="8" s="1"/>
  <c r="E5" i="3"/>
  <c r="C46" i="4"/>
  <c r="C45" i="4"/>
  <c r="C44" i="4"/>
  <c r="C43" i="4"/>
  <c r="C40" i="4"/>
  <c r="C39" i="4"/>
  <c r="C38" i="4"/>
  <c r="C37" i="4"/>
  <c r="C36" i="4"/>
  <c r="C35" i="4"/>
  <c r="C34" i="4"/>
  <c r="C33" i="4"/>
  <c r="C30" i="4"/>
  <c r="C29" i="4"/>
  <c r="C28" i="4"/>
  <c r="C27" i="4"/>
  <c r="C26" i="4"/>
  <c r="C25" i="4"/>
  <c r="C24" i="4"/>
  <c r="C23" i="4"/>
  <c r="C22" i="4"/>
  <c r="C21" i="4"/>
  <c r="C18" i="4"/>
  <c r="C17" i="4"/>
  <c r="C16" i="4"/>
  <c r="C15" i="4"/>
  <c r="C14" i="4"/>
  <c r="C13" i="4"/>
  <c r="C6" i="4"/>
  <c r="F10" i="6" l="1"/>
  <c r="F16" i="7" s="1"/>
  <c r="G10" i="6"/>
  <c r="G16" i="7" s="1"/>
  <c r="I10" i="6"/>
  <c r="I16" i="7" s="1"/>
  <c r="K10" i="6"/>
  <c r="K16" i="7" s="1"/>
  <c r="M10" i="6"/>
  <c r="M16" i="7" s="1"/>
  <c r="O10" i="6"/>
  <c r="O16" i="7" s="1"/>
  <c r="Q10" i="6"/>
  <c r="Q16" i="7" s="1"/>
  <c r="R10" i="6"/>
  <c r="R16" i="7" s="1"/>
  <c r="T10" i="6"/>
  <c r="T16" i="7" s="1"/>
  <c r="V10" i="6"/>
  <c r="V16" i="7" s="1"/>
  <c r="X10" i="6"/>
  <c r="X16" i="7" s="1"/>
  <c r="Z10" i="6"/>
  <c r="Z16" i="7" s="1"/>
  <c r="AB10" i="6"/>
  <c r="AB16" i="7" s="1"/>
  <c r="AC10" i="6"/>
  <c r="AC16" i="7" s="1"/>
  <c r="AE10" i="6"/>
  <c r="AE16" i="7" s="1"/>
  <c r="AG10" i="6"/>
  <c r="AG16" i="7" s="1"/>
  <c r="F11" i="6"/>
  <c r="F10" i="7" s="1"/>
  <c r="H11" i="6"/>
  <c r="H10" i="7" s="1"/>
  <c r="J11" i="6"/>
  <c r="J10" i="7" s="1"/>
  <c r="L11" i="6"/>
  <c r="L10" i="7" s="1"/>
  <c r="N11" i="6"/>
  <c r="N10" i="7" s="1"/>
  <c r="P11" i="6"/>
  <c r="P10" i="7" s="1"/>
  <c r="R11" i="6"/>
  <c r="R10" i="7" s="1"/>
  <c r="T11" i="6"/>
  <c r="T10" i="7" s="1"/>
  <c r="V11" i="6"/>
  <c r="V10" i="7" s="1"/>
  <c r="X11" i="6"/>
  <c r="X10" i="7" s="1"/>
  <c r="Z11" i="6"/>
  <c r="Z10" i="7" s="1"/>
  <c r="AB11" i="6"/>
  <c r="AB10" i="7" s="1"/>
  <c r="AD11" i="6"/>
  <c r="AD10" i="7" s="1"/>
  <c r="AF11" i="6"/>
  <c r="AF10" i="7" s="1"/>
  <c r="G11" i="6"/>
  <c r="G10" i="7" s="1"/>
  <c r="AF10" i="6"/>
  <c r="AF16" i="7" s="1"/>
  <c r="AD10" i="6"/>
  <c r="AD16" i="7" s="1"/>
  <c r="AA10" i="6"/>
  <c r="AA16" i="7" s="1"/>
  <c r="Y10" i="6"/>
  <c r="Y16" i="7" s="1"/>
  <c r="W10" i="6"/>
  <c r="W16" i="7" s="1"/>
  <c r="U10" i="6"/>
  <c r="U16" i="7" s="1"/>
  <c r="S10" i="6"/>
  <c r="S16" i="7" s="1"/>
  <c r="P10" i="6"/>
  <c r="P16" i="7" s="1"/>
  <c r="N10" i="6"/>
  <c r="N16" i="7" s="1"/>
  <c r="L10" i="6"/>
  <c r="L16" i="7" s="1"/>
  <c r="J10" i="6"/>
  <c r="J16" i="7" s="1"/>
  <c r="H10" i="6"/>
  <c r="H16" i="7" s="1"/>
  <c r="E10" i="6"/>
  <c r="E16" i="7" s="1"/>
  <c r="D11" i="6"/>
  <c r="D10" i="7" s="1"/>
  <c r="E11" i="6"/>
  <c r="E10" i="7" s="1"/>
  <c r="I11" i="6"/>
  <c r="I10" i="7" s="1"/>
  <c r="K11" i="6"/>
  <c r="K10" i="7" s="1"/>
  <c r="M11" i="6"/>
  <c r="M10" i="7" s="1"/>
  <c r="O11" i="6"/>
  <c r="O10" i="7" s="1"/>
  <c r="Q11" i="6"/>
  <c r="Q10" i="7" s="1"/>
  <c r="S11" i="6"/>
  <c r="S10" i="7" s="1"/>
  <c r="U11" i="6"/>
  <c r="U10" i="7" s="1"/>
  <c r="W11" i="6"/>
  <c r="W10" i="7" s="1"/>
  <c r="Y11" i="6"/>
  <c r="Y10" i="7" s="1"/>
  <c r="AA11" i="6"/>
  <c r="AA10" i="7" s="1"/>
  <c r="AC11" i="6"/>
  <c r="AC10" i="7" s="1"/>
  <c r="AE11" i="6"/>
  <c r="AE10" i="7" s="1"/>
  <c r="AG11" i="6"/>
  <c r="AG10" i="7" s="1"/>
  <c r="D10" i="6"/>
  <c r="D6" i="6"/>
  <c r="E6" i="6"/>
  <c r="H6" i="6"/>
  <c r="J6" i="6"/>
  <c r="L6" i="6"/>
  <c r="N6" i="6"/>
  <c r="P6" i="6"/>
  <c r="R6" i="6"/>
  <c r="T6" i="6"/>
  <c r="V6" i="6"/>
  <c r="X6" i="6"/>
  <c r="Z6" i="6"/>
  <c r="AB6" i="6"/>
  <c r="AD6" i="6"/>
  <c r="F6" i="6"/>
  <c r="G6" i="6"/>
  <c r="I6" i="6"/>
  <c r="K6" i="6"/>
  <c r="M6" i="6"/>
  <c r="O6" i="6"/>
  <c r="Q6" i="6"/>
  <c r="S6" i="6"/>
  <c r="U6" i="6"/>
  <c r="W6" i="6"/>
  <c r="Y6" i="6"/>
  <c r="AA6" i="6"/>
  <c r="AC6" i="6"/>
  <c r="AE6" i="6"/>
  <c r="AG6" i="6"/>
  <c r="AF6" i="6"/>
  <c r="G8" i="5"/>
  <c r="AG8" i="5"/>
  <c r="E8" i="5"/>
  <c r="D8" i="5"/>
  <c r="AE8" i="5"/>
  <c r="AC8" i="5"/>
  <c r="AA8" i="5"/>
  <c r="Y8" i="5"/>
  <c r="W8" i="5"/>
  <c r="U8" i="5"/>
  <c r="S8" i="5"/>
  <c r="Q8" i="5"/>
  <c r="O8" i="5"/>
  <c r="M8" i="5"/>
  <c r="K8" i="5"/>
  <c r="I8" i="5"/>
  <c r="F8" i="5"/>
  <c r="H8" i="5"/>
  <c r="J8" i="5"/>
  <c r="L8" i="5"/>
  <c r="N8" i="5"/>
  <c r="P8" i="5"/>
  <c r="R8" i="5"/>
  <c r="T8" i="5"/>
  <c r="V8" i="5"/>
  <c r="X8" i="5"/>
  <c r="Z8" i="5"/>
  <c r="AB8" i="5"/>
  <c r="AD8" i="5"/>
  <c r="AF8" i="5"/>
  <c r="B9" i="11" l="1"/>
  <c r="C9" i="11" s="1"/>
  <c r="D16" i="7"/>
  <c r="C19" i="8"/>
  <c r="G11" i="5"/>
  <c r="G10" i="5"/>
  <c r="G14" i="7"/>
  <c r="G12" i="5"/>
  <c r="AG12" i="5"/>
  <c r="AG11" i="5"/>
  <c r="AG10" i="5"/>
  <c r="AG14" i="7"/>
  <c r="E14" i="7"/>
  <c r="E12" i="5"/>
  <c r="E11" i="5"/>
  <c r="E10" i="5"/>
  <c r="D14" i="7"/>
  <c r="D11" i="5"/>
  <c r="D12" i="5"/>
  <c r="D10" i="5"/>
  <c r="AE12" i="5"/>
  <c r="AE11" i="5"/>
  <c r="AE10" i="5"/>
  <c r="AE14" i="7"/>
  <c r="AC12" i="5"/>
  <c r="AC11" i="5"/>
  <c r="AC14" i="7"/>
  <c r="AC10" i="5"/>
  <c r="AA12" i="5"/>
  <c r="AA11" i="5"/>
  <c r="AA10" i="5"/>
  <c r="AA14" i="7"/>
  <c r="Y12" i="5"/>
  <c r="Y11" i="5"/>
  <c r="Y10" i="5"/>
  <c r="Y14" i="7"/>
  <c r="W11" i="5"/>
  <c r="W10" i="5"/>
  <c r="W14" i="7"/>
  <c r="W12" i="5"/>
  <c r="U12" i="5"/>
  <c r="U11" i="5"/>
  <c r="U10" i="5"/>
  <c r="U14" i="7"/>
  <c r="S11" i="5"/>
  <c r="S10" i="5"/>
  <c r="S14" i="7"/>
  <c r="S12" i="5"/>
  <c r="Q12" i="5"/>
  <c r="Q11" i="5"/>
  <c r="Q10" i="5"/>
  <c r="Q14" i="7"/>
  <c r="O12" i="5"/>
  <c r="O11" i="5"/>
  <c r="O14" i="7"/>
  <c r="O10" i="5"/>
  <c r="M12" i="5"/>
  <c r="M11" i="5"/>
  <c r="M10" i="5"/>
  <c r="M14" i="7"/>
  <c r="K11" i="5"/>
  <c r="K10" i="5"/>
  <c r="K14" i="7"/>
  <c r="K12" i="5"/>
  <c r="I11" i="5"/>
  <c r="I10" i="5"/>
  <c r="I14" i="7"/>
  <c r="I12" i="5"/>
  <c r="F12" i="5"/>
  <c r="F11" i="5"/>
  <c r="F10" i="5"/>
  <c r="F14" i="7"/>
  <c r="H11" i="5"/>
  <c r="H10" i="5"/>
  <c r="H12" i="5"/>
  <c r="H14" i="7"/>
  <c r="J11" i="5"/>
  <c r="J10" i="5"/>
  <c r="J12" i="5"/>
  <c r="J14" i="7"/>
  <c r="L12" i="5"/>
  <c r="L11" i="5"/>
  <c r="L10" i="5"/>
  <c r="L14" i="7"/>
  <c r="N12" i="5"/>
  <c r="N11" i="5"/>
  <c r="N10" i="5"/>
  <c r="N14" i="7"/>
  <c r="P12" i="5"/>
  <c r="P11" i="5"/>
  <c r="P10" i="5"/>
  <c r="P14" i="7"/>
  <c r="R12" i="5"/>
  <c r="R11" i="5"/>
  <c r="R10" i="5"/>
  <c r="R14" i="7"/>
  <c r="T11" i="5"/>
  <c r="T12" i="5"/>
  <c r="T10" i="5"/>
  <c r="T14" i="7"/>
  <c r="V12" i="5"/>
  <c r="V11" i="5"/>
  <c r="V10" i="5"/>
  <c r="V14" i="7"/>
  <c r="X11" i="5"/>
  <c r="X12" i="5"/>
  <c r="X10" i="5"/>
  <c r="X14" i="7"/>
  <c r="Z12" i="5"/>
  <c r="Z11" i="5"/>
  <c r="Z10" i="5"/>
  <c r="Z14" i="7"/>
  <c r="AB12" i="5"/>
  <c r="AB11" i="5"/>
  <c r="AB10" i="5"/>
  <c r="AB14" i="7"/>
  <c r="AD12" i="5"/>
  <c r="AD11" i="5"/>
  <c r="AD10" i="5"/>
  <c r="AD14" i="7"/>
  <c r="AF12" i="5"/>
  <c r="AF11" i="5"/>
  <c r="AF10" i="5"/>
  <c r="AF14" i="7"/>
  <c r="G7" i="6" l="1"/>
  <c r="G8" i="6" s="1"/>
  <c r="G7" i="7" s="1"/>
  <c r="G14" i="5"/>
  <c r="AG7" i="6"/>
  <c r="AG8" i="6" s="1"/>
  <c r="AG7" i="7" s="1"/>
  <c r="AG14" i="5"/>
  <c r="E7" i="6"/>
  <c r="E8" i="6" s="1"/>
  <c r="E7" i="7" s="1"/>
  <c r="E14" i="5"/>
  <c r="D7" i="6"/>
  <c r="D8" i="6" s="1"/>
  <c r="D7" i="7" s="1"/>
  <c r="D14" i="5"/>
  <c r="D15" i="5" s="1"/>
  <c r="D16" i="5" s="1"/>
  <c r="D6" i="7" s="1"/>
  <c r="AE14" i="5"/>
  <c r="AE7" i="6"/>
  <c r="AE8" i="6" s="1"/>
  <c r="AE7" i="7" s="1"/>
  <c r="AC7" i="6"/>
  <c r="AC8" i="6" s="1"/>
  <c r="AC7" i="7" s="1"/>
  <c r="AC14" i="5"/>
  <c r="AA14" i="5"/>
  <c r="AA7" i="6"/>
  <c r="AA8" i="6" s="1"/>
  <c r="AA7" i="7" s="1"/>
  <c r="Y7" i="6"/>
  <c r="Y8" i="6" s="1"/>
  <c r="Y7" i="7" s="1"/>
  <c r="Y14" i="5"/>
  <c r="W7" i="6"/>
  <c r="W8" i="6" s="1"/>
  <c r="W7" i="7" s="1"/>
  <c r="W14" i="5"/>
  <c r="U7" i="6"/>
  <c r="U8" i="6" s="1"/>
  <c r="U7" i="7" s="1"/>
  <c r="U14" i="5"/>
  <c r="S7" i="6"/>
  <c r="S8" i="6" s="1"/>
  <c r="S7" i="7" s="1"/>
  <c r="S14" i="5"/>
  <c r="Q7" i="6"/>
  <c r="Q8" i="6" s="1"/>
  <c r="Q7" i="7" s="1"/>
  <c r="Q14" i="5"/>
  <c r="O7" i="6"/>
  <c r="O8" i="6" s="1"/>
  <c r="O7" i="7" s="1"/>
  <c r="O14" i="5"/>
  <c r="M7" i="6"/>
  <c r="M8" i="6" s="1"/>
  <c r="M7" i="7" s="1"/>
  <c r="M14" i="5"/>
  <c r="K7" i="6"/>
  <c r="K8" i="6" s="1"/>
  <c r="K7" i="7" s="1"/>
  <c r="K14" i="5"/>
  <c r="I7" i="6"/>
  <c r="I8" i="6" s="1"/>
  <c r="I7" i="7" s="1"/>
  <c r="I14" i="5"/>
  <c r="F7" i="6"/>
  <c r="F8" i="6" s="1"/>
  <c r="F7" i="7" s="1"/>
  <c r="F14" i="5"/>
  <c r="H7" i="6"/>
  <c r="H8" i="6" s="1"/>
  <c r="H7" i="7" s="1"/>
  <c r="H14" i="5"/>
  <c r="J7" i="6"/>
  <c r="J8" i="6" s="1"/>
  <c r="J7" i="7" s="1"/>
  <c r="J14" i="5"/>
  <c r="L7" i="6"/>
  <c r="L8" i="6" s="1"/>
  <c r="L7" i="7" s="1"/>
  <c r="L14" i="5"/>
  <c r="N7" i="6"/>
  <c r="N8" i="6" s="1"/>
  <c r="N7" i="7" s="1"/>
  <c r="N14" i="5"/>
  <c r="P7" i="6"/>
  <c r="P8" i="6" s="1"/>
  <c r="P7" i="7" s="1"/>
  <c r="P14" i="5"/>
  <c r="R14" i="5"/>
  <c r="R7" i="6"/>
  <c r="R8" i="6" s="1"/>
  <c r="R7" i="7" s="1"/>
  <c r="T14" i="5"/>
  <c r="T7" i="6"/>
  <c r="T8" i="6" s="1"/>
  <c r="T7" i="7" s="1"/>
  <c r="V14" i="5"/>
  <c r="V7" i="6"/>
  <c r="V8" i="6" s="1"/>
  <c r="V7" i="7" s="1"/>
  <c r="X14" i="5"/>
  <c r="X7" i="6"/>
  <c r="X8" i="6" s="1"/>
  <c r="X7" i="7" s="1"/>
  <c r="Z14" i="5"/>
  <c r="Z7" i="6"/>
  <c r="Z8" i="6" s="1"/>
  <c r="Z7" i="7" s="1"/>
  <c r="AB7" i="6"/>
  <c r="AB8" i="6" s="1"/>
  <c r="AB7" i="7" s="1"/>
  <c r="AB14" i="5"/>
  <c r="AD7" i="6"/>
  <c r="AD8" i="6" s="1"/>
  <c r="AD7" i="7" s="1"/>
  <c r="AD14" i="5"/>
  <c r="AF7" i="6"/>
  <c r="AF8" i="6" s="1"/>
  <c r="AF7" i="7" s="1"/>
  <c r="AF14" i="5"/>
  <c r="D8" i="7" l="1"/>
  <c r="G15" i="5"/>
  <c r="G16" i="5" s="1"/>
  <c r="G6" i="7" s="1"/>
  <c r="G8" i="7" s="1"/>
  <c r="AG15" i="5"/>
  <c r="AG16" i="5" s="1"/>
  <c r="AG6" i="7" s="1"/>
  <c r="AG8" i="7" s="1"/>
  <c r="E15" i="5"/>
  <c r="E16" i="5" s="1"/>
  <c r="E6" i="7" s="1"/>
  <c r="E8" i="7" s="1"/>
  <c r="AE15" i="5"/>
  <c r="AE16" i="5" s="1"/>
  <c r="AE6" i="7" s="1"/>
  <c r="AE8" i="7" s="1"/>
  <c r="AC15" i="5"/>
  <c r="AC16" i="5" s="1"/>
  <c r="AC6" i="7" s="1"/>
  <c r="AC8" i="7" s="1"/>
  <c r="AA15" i="5"/>
  <c r="AA16" i="5" s="1"/>
  <c r="AA6" i="7" s="1"/>
  <c r="AA8" i="7" s="1"/>
  <c r="Y15" i="5"/>
  <c r="Y16" i="5" s="1"/>
  <c r="Y6" i="7" s="1"/>
  <c r="Y8" i="7" s="1"/>
  <c r="W15" i="5"/>
  <c r="W16" i="5" s="1"/>
  <c r="W6" i="7" s="1"/>
  <c r="W8" i="7" s="1"/>
  <c r="U15" i="5"/>
  <c r="U16" i="5" s="1"/>
  <c r="U6" i="7" s="1"/>
  <c r="U8" i="7" s="1"/>
  <c r="S15" i="5"/>
  <c r="S16" i="5" s="1"/>
  <c r="S6" i="7" s="1"/>
  <c r="S8" i="7" s="1"/>
  <c r="Q15" i="5"/>
  <c r="Q16" i="5" s="1"/>
  <c r="Q6" i="7" s="1"/>
  <c r="Q8" i="7" s="1"/>
  <c r="O15" i="5"/>
  <c r="O16" i="5" s="1"/>
  <c r="O6" i="7" s="1"/>
  <c r="O8" i="7" s="1"/>
  <c r="M15" i="5"/>
  <c r="M16" i="5" s="1"/>
  <c r="M6" i="7" s="1"/>
  <c r="M8" i="7" s="1"/>
  <c r="K15" i="5"/>
  <c r="K16" i="5" s="1"/>
  <c r="K6" i="7" s="1"/>
  <c r="K8" i="7" s="1"/>
  <c r="I15" i="5"/>
  <c r="I16" i="5" s="1"/>
  <c r="I6" i="7" s="1"/>
  <c r="I8" i="7" s="1"/>
  <c r="F15" i="5"/>
  <c r="F16" i="5" s="1"/>
  <c r="F6" i="7" s="1"/>
  <c r="F8" i="7" s="1"/>
  <c r="H15" i="5"/>
  <c r="H16" i="5" s="1"/>
  <c r="H6" i="7" s="1"/>
  <c r="H8" i="7" s="1"/>
  <c r="J15" i="5"/>
  <c r="J16" i="5" s="1"/>
  <c r="J6" i="7" s="1"/>
  <c r="J8" i="7" s="1"/>
  <c r="L15" i="5"/>
  <c r="L16" i="5" s="1"/>
  <c r="L6" i="7" s="1"/>
  <c r="L8" i="7" s="1"/>
  <c r="N15" i="5"/>
  <c r="N16" i="5" s="1"/>
  <c r="N6" i="7" s="1"/>
  <c r="N8" i="7" s="1"/>
  <c r="P15" i="5"/>
  <c r="P16" i="5" s="1"/>
  <c r="P6" i="7" s="1"/>
  <c r="P8" i="7" s="1"/>
  <c r="R15" i="5"/>
  <c r="R16" i="5" s="1"/>
  <c r="R6" i="7" s="1"/>
  <c r="R8" i="7" s="1"/>
  <c r="T15" i="5"/>
  <c r="T16" i="5" s="1"/>
  <c r="T6" i="7" s="1"/>
  <c r="T8" i="7" s="1"/>
  <c r="V15" i="5"/>
  <c r="V16" i="5" s="1"/>
  <c r="V6" i="7" s="1"/>
  <c r="V8" i="7" s="1"/>
  <c r="X15" i="5"/>
  <c r="X16" i="5" s="1"/>
  <c r="X6" i="7" s="1"/>
  <c r="X8" i="7" s="1"/>
  <c r="Z15" i="5"/>
  <c r="Z16" i="5" s="1"/>
  <c r="Z6" i="7" s="1"/>
  <c r="Z8" i="7" s="1"/>
  <c r="AB15" i="5"/>
  <c r="AB16" i="5" s="1"/>
  <c r="AB6" i="7" s="1"/>
  <c r="AB8" i="7" s="1"/>
  <c r="AD15" i="5"/>
  <c r="AD16" i="5" s="1"/>
  <c r="AD6" i="7" s="1"/>
  <c r="AD8" i="7" s="1"/>
  <c r="AF15" i="5"/>
  <c r="AF16" i="5" s="1"/>
  <c r="AF6" i="7" s="1"/>
  <c r="AF8" i="7" s="1"/>
  <c r="D11" i="7" l="1"/>
  <c r="D9" i="7"/>
  <c r="G11" i="7"/>
  <c r="G9" i="7"/>
  <c r="AG9" i="7"/>
  <c r="AG11" i="7"/>
  <c r="E11" i="7"/>
  <c r="E9" i="7"/>
  <c r="AE9" i="7"/>
  <c r="AE11" i="7"/>
  <c r="AC9" i="7"/>
  <c r="AC11" i="7"/>
  <c r="AA9" i="7"/>
  <c r="AA11" i="7"/>
  <c r="Y9" i="7"/>
  <c r="Y11" i="7"/>
  <c r="W11" i="7"/>
  <c r="W9" i="7"/>
  <c r="U9" i="7"/>
  <c r="U11" i="7"/>
  <c r="S9" i="7"/>
  <c r="S11" i="7"/>
  <c r="Q11" i="7"/>
  <c r="Q9" i="7"/>
  <c r="O11" i="7"/>
  <c r="O9" i="7"/>
  <c r="M11" i="7"/>
  <c r="M9" i="7"/>
  <c r="K11" i="7"/>
  <c r="K9" i="7"/>
  <c r="I11" i="7"/>
  <c r="I9" i="7"/>
  <c r="F11" i="7"/>
  <c r="F9" i="7"/>
  <c r="H9" i="7"/>
  <c r="H11" i="7"/>
  <c r="J11" i="7"/>
  <c r="J9" i="7"/>
  <c r="L11" i="7"/>
  <c r="L9" i="7"/>
  <c r="N11" i="7"/>
  <c r="N9" i="7"/>
  <c r="P11" i="7"/>
  <c r="P9" i="7"/>
  <c r="R11" i="7"/>
  <c r="R9" i="7"/>
  <c r="T11" i="7"/>
  <c r="T9" i="7"/>
  <c r="V9" i="7"/>
  <c r="V11" i="7"/>
  <c r="X9" i="7"/>
  <c r="X11" i="7"/>
  <c r="Z11" i="7"/>
  <c r="Z9" i="7"/>
  <c r="AB11" i="7"/>
  <c r="AB9" i="7"/>
  <c r="AD11" i="7"/>
  <c r="AD9" i="7"/>
  <c r="AF9" i="7"/>
  <c r="AF11" i="7"/>
  <c r="D9" i="9" l="1"/>
  <c r="D12" i="7"/>
  <c r="D15" i="7" s="1"/>
  <c r="G12" i="7"/>
  <c r="G15" i="7" s="1"/>
  <c r="AG12" i="7"/>
  <c r="AG15" i="7" s="1"/>
  <c r="E12" i="7"/>
  <c r="E15" i="7" s="1"/>
  <c r="AE12" i="7"/>
  <c r="AE15" i="7" s="1"/>
  <c r="AC12" i="7"/>
  <c r="AC15" i="7" s="1"/>
  <c r="AA12" i="7"/>
  <c r="AA15" i="7" s="1"/>
  <c r="Y12" i="7"/>
  <c r="Y15" i="7" s="1"/>
  <c r="W12" i="7"/>
  <c r="W15" i="7" s="1"/>
  <c r="U12" i="7"/>
  <c r="U15" i="7" s="1"/>
  <c r="S12" i="7"/>
  <c r="S15" i="7" s="1"/>
  <c r="Q12" i="7"/>
  <c r="Q15" i="7" s="1"/>
  <c r="O12" i="7"/>
  <c r="O15" i="7" s="1"/>
  <c r="M12" i="7"/>
  <c r="M15" i="7" s="1"/>
  <c r="K12" i="7"/>
  <c r="K15" i="7" s="1"/>
  <c r="I12" i="7"/>
  <c r="I15" i="7" s="1"/>
  <c r="F12" i="7"/>
  <c r="F15" i="7" s="1"/>
  <c r="H12" i="7"/>
  <c r="H15" i="7" s="1"/>
  <c r="J12" i="7"/>
  <c r="J15" i="7" s="1"/>
  <c r="L12" i="7"/>
  <c r="L15" i="7" s="1"/>
  <c r="N12" i="7"/>
  <c r="N15" i="7" s="1"/>
  <c r="P12" i="7"/>
  <c r="P15" i="7" s="1"/>
  <c r="R12" i="7"/>
  <c r="R15" i="7" s="1"/>
  <c r="T12" i="7"/>
  <c r="T15" i="7" s="1"/>
  <c r="V12" i="7"/>
  <c r="V15" i="7" s="1"/>
  <c r="X12" i="7"/>
  <c r="X15" i="7" s="1"/>
  <c r="Z12" i="7"/>
  <c r="Z15" i="7" s="1"/>
  <c r="AB12" i="7"/>
  <c r="AB15" i="7" s="1"/>
  <c r="AD12" i="7"/>
  <c r="AD15" i="7" s="1"/>
  <c r="AF12" i="7"/>
  <c r="AF15" i="7" s="1"/>
  <c r="X7" i="8" l="1"/>
  <c r="X17" i="7"/>
  <c r="X6" i="9" s="1"/>
  <c r="Z17" i="7"/>
  <c r="Z6" i="9" s="1"/>
  <c r="Z7" i="8"/>
  <c r="AD7" i="8"/>
  <c r="AD17" i="7"/>
  <c r="AD6" i="9" s="1"/>
  <c r="AF17" i="7"/>
  <c r="AF6" i="9" s="1"/>
  <c r="AF7" i="8"/>
  <c r="V7" i="8"/>
  <c r="V17" i="7"/>
  <c r="V6" i="9" s="1"/>
  <c r="AB17" i="7"/>
  <c r="AB6" i="9" s="1"/>
  <c r="AB7" i="8"/>
  <c r="D7" i="8"/>
  <c r="D17" i="7"/>
  <c r="D6" i="9" s="1"/>
  <c r="G17" i="7"/>
  <c r="G6" i="9" s="1"/>
  <c r="G7" i="8"/>
  <c r="AG17" i="7"/>
  <c r="AG6" i="9" s="1"/>
  <c r="AG7" i="8"/>
  <c r="E17" i="7"/>
  <c r="E7" i="8"/>
  <c r="AE17" i="7"/>
  <c r="AE6" i="9" s="1"/>
  <c r="AE7" i="8"/>
  <c r="AC17" i="7"/>
  <c r="AC6" i="9" s="1"/>
  <c r="AC7" i="8"/>
  <c r="AA17" i="7"/>
  <c r="AA6" i="9" s="1"/>
  <c r="AA7" i="8"/>
  <c r="Y17" i="7"/>
  <c r="Y6" i="9" s="1"/>
  <c r="Y7" i="8"/>
  <c r="W17" i="7"/>
  <c r="W6" i="9" s="1"/>
  <c r="W7" i="8"/>
  <c r="U7" i="8"/>
  <c r="U17" i="7"/>
  <c r="U6" i="9" s="1"/>
  <c r="S7" i="8"/>
  <c r="S17" i="7"/>
  <c r="S6" i="9" s="1"/>
  <c r="Q17" i="7"/>
  <c r="Q6" i="9" s="1"/>
  <c r="Q7" i="8"/>
  <c r="O17" i="7"/>
  <c r="O6" i="9" s="1"/>
  <c r="O7" i="8"/>
  <c r="M17" i="7"/>
  <c r="M6" i="9" s="1"/>
  <c r="M7" i="8"/>
  <c r="K17" i="7"/>
  <c r="K6" i="9" s="1"/>
  <c r="K7" i="8"/>
  <c r="I17" i="7"/>
  <c r="I6" i="9" s="1"/>
  <c r="I7" i="8"/>
  <c r="F17" i="7"/>
  <c r="F6" i="9" s="1"/>
  <c r="F7" i="8"/>
  <c r="H7" i="8"/>
  <c r="H17" i="7"/>
  <c r="H6" i="9" s="1"/>
  <c r="J7" i="8"/>
  <c r="J17" i="7"/>
  <c r="J6" i="9" s="1"/>
  <c r="L17" i="7"/>
  <c r="L6" i="9" s="1"/>
  <c r="L7" i="8"/>
  <c r="N17" i="7"/>
  <c r="N6" i="9" s="1"/>
  <c r="N7" i="8"/>
  <c r="P7" i="8"/>
  <c r="P17" i="7"/>
  <c r="P6" i="9" s="1"/>
  <c r="R7" i="8"/>
  <c r="R17" i="7"/>
  <c r="R6" i="9" s="1"/>
  <c r="T7" i="8"/>
  <c r="T17" i="7"/>
  <c r="T6" i="9" s="1"/>
  <c r="D14" i="8"/>
  <c r="C18" i="8" l="1"/>
  <c r="C20" i="8" s="1"/>
  <c r="C21" i="8" s="1"/>
  <c r="C15" i="9"/>
  <c r="C17" i="7"/>
  <c r="E6" i="9"/>
  <c r="D15" i="8"/>
  <c r="D8" i="9"/>
  <c r="E10" i="8" l="1"/>
  <c r="E7" i="9" s="1"/>
  <c r="D10" i="8"/>
  <c r="J10" i="8"/>
  <c r="J7" i="9" s="1"/>
  <c r="F10" i="8"/>
  <c r="F7" i="9" s="1"/>
  <c r="I10" i="8"/>
  <c r="I7" i="9" s="1"/>
  <c r="K10" i="8"/>
  <c r="K7" i="9" s="1"/>
  <c r="G10" i="8"/>
  <c r="G7" i="9" s="1"/>
  <c r="H10" i="8"/>
  <c r="H7" i="9" s="1"/>
  <c r="B6" i="11" l="1"/>
  <c r="C6" i="11" s="1"/>
  <c r="D12" i="8"/>
  <c r="E9" i="8" s="1"/>
  <c r="D7" i="9"/>
  <c r="D10" i="9" s="1"/>
  <c r="E13" i="8" l="1"/>
  <c r="E12" i="8"/>
  <c r="F9" i="8" s="1"/>
  <c r="D11" i="9"/>
  <c r="D13" i="9" l="1"/>
  <c r="E14" i="8"/>
  <c r="E9" i="9"/>
  <c r="F13" i="8"/>
  <c r="F12" i="8"/>
  <c r="G9" i="8" s="1"/>
  <c r="E8" i="9" l="1"/>
  <c r="E10" i="9" s="1"/>
  <c r="E11" i="9" s="1"/>
  <c r="E15" i="8"/>
  <c r="F9" i="9"/>
  <c r="F14" i="8"/>
  <c r="G12" i="8"/>
  <c r="H9" i="8" s="1"/>
  <c r="G13" i="8"/>
  <c r="E13" i="9" l="1"/>
  <c r="F15" i="8"/>
  <c r="F8" i="9"/>
  <c r="F10" i="9" s="1"/>
  <c r="F11" i="9" s="1"/>
  <c r="H13" i="8"/>
  <c r="H12" i="8"/>
  <c r="I9" i="8" s="1"/>
  <c r="G9" i="9"/>
  <c r="G14" i="8"/>
  <c r="F13" i="9" l="1"/>
  <c r="H9" i="9"/>
  <c r="H14" i="8"/>
  <c r="I13" i="8"/>
  <c r="I12" i="8"/>
  <c r="J9" i="8" s="1"/>
  <c r="G15" i="8"/>
  <c r="G8" i="9"/>
  <c r="G10" i="9" s="1"/>
  <c r="G11" i="9" s="1"/>
  <c r="G13" i="9" l="1"/>
  <c r="H15" i="8"/>
  <c r="H8" i="9"/>
  <c r="H10" i="9" s="1"/>
  <c r="H11" i="9" s="1"/>
  <c r="H13" i="9" s="1"/>
  <c r="I14" i="8"/>
  <c r="I9" i="9"/>
  <c r="J12" i="8"/>
  <c r="K9" i="8" s="1"/>
  <c r="J13" i="8"/>
  <c r="I15" i="8" l="1"/>
  <c r="I8" i="9"/>
  <c r="I10" i="9" s="1"/>
  <c r="K13" i="8"/>
  <c r="K12" i="8"/>
  <c r="L9" i="8" s="1"/>
  <c r="J9" i="9"/>
  <c r="J14" i="8"/>
  <c r="L13" i="8" l="1"/>
  <c r="I11" i="9"/>
  <c r="I13" i="9" s="1"/>
  <c r="K9" i="9"/>
  <c r="K14" i="8"/>
  <c r="J15" i="8"/>
  <c r="J8" i="9"/>
  <c r="J10" i="9" s="1"/>
  <c r="J11" i="9" s="1"/>
  <c r="J13" i="9" s="1"/>
  <c r="L9" i="9" l="1"/>
  <c r="L11" i="8"/>
  <c r="K15" i="8"/>
  <c r="K8" i="9"/>
  <c r="K10" i="9" s="1"/>
  <c r="L14" i="8" l="1"/>
  <c r="L12" i="8"/>
  <c r="M9" i="8" s="1"/>
  <c r="K11" i="9"/>
  <c r="M13" i="8" l="1"/>
  <c r="L8" i="9"/>
  <c r="L10" i="9" s="1"/>
  <c r="L15" i="8"/>
  <c r="L12" i="9"/>
  <c r="B8" i="11" s="1"/>
  <c r="C8" i="11" s="1"/>
  <c r="K13" i="9"/>
  <c r="M9" i="9" l="1"/>
  <c r="M11" i="8"/>
  <c r="L13" i="9"/>
  <c r="M14" i="8" l="1"/>
  <c r="M12" i="8"/>
  <c r="N9" i="8" s="1"/>
  <c r="N13" i="8" s="1"/>
  <c r="M15" i="8" l="1"/>
  <c r="M8" i="9"/>
  <c r="M10" i="9" s="1"/>
  <c r="M13" i="9" s="1"/>
  <c r="N11" i="8"/>
  <c r="N9" i="9"/>
  <c r="N12" i="8" l="1"/>
  <c r="O9" i="8" s="1"/>
  <c r="O13" i="8" s="1"/>
  <c r="O9" i="9" s="1"/>
  <c r="N14" i="8"/>
  <c r="O11" i="8" l="1"/>
  <c r="N8" i="9"/>
  <c r="N10" i="9" s="1"/>
  <c r="N13" i="9" s="1"/>
  <c r="N15" i="8"/>
  <c r="O14" i="8" l="1"/>
  <c r="O12" i="8"/>
  <c r="P9" i="8" s="1"/>
  <c r="O8" i="9" l="1"/>
  <c r="O10" i="9" s="1"/>
  <c r="O13" i="9" s="1"/>
  <c r="O15" i="8"/>
  <c r="P13" i="8"/>
  <c r="P9" i="9" l="1"/>
  <c r="P11" i="8"/>
  <c r="P12" i="8" l="1"/>
  <c r="Q9" i="8" s="1"/>
  <c r="Q13" i="8" s="1"/>
  <c r="P14" i="8"/>
  <c r="Q11" i="8" l="1"/>
  <c r="Q9" i="9"/>
  <c r="P15" i="8"/>
  <c r="P8" i="9"/>
  <c r="P10" i="9" s="1"/>
  <c r="P13" i="9" s="1"/>
  <c r="Q12" i="8" l="1"/>
  <c r="R9" i="8" s="1"/>
  <c r="R13" i="8" s="1"/>
  <c r="Q14" i="8"/>
  <c r="R9" i="9" l="1"/>
  <c r="R11" i="8"/>
  <c r="Q15" i="8"/>
  <c r="Q8" i="9"/>
  <c r="Q10" i="9" s="1"/>
  <c r="Q13" i="9" s="1"/>
  <c r="R14" i="8" l="1"/>
  <c r="R12" i="8"/>
  <c r="S9" i="8" s="1"/>
  <c r="S13" i="8" s="1"/>
  <c r="S11" i="8" s="1"/>
  <c r="S12" i="8" s="1"/>
  <c r="T9" i="8" s="1"/>
  <c r="R8" i="9" l="1"/>
  <c r="R10" i="9" s="1"/>
  <c r="R13" i="9" s="1"/>
  <c r="R15" i="8"/>
  <c r="S14" i="8"/>
  <c r="S9" i="9"/>
  <c r="T13" i="8"/>
  <c r="S8" i="9" l="1"/>
  <c r="S10" i="9" s="1"/>
  <c r="S13" i="9" s="1"/>
  <c r="S15" i="8"/>
  <c r="T9" i="9"/>
  <c r="T11" i="8"/>
  <c r="T12" i="8" l="1"/>
  <c r="U9" i="8" s="1"/>
  <c r="T14" i="8"/>
  <c r="U13" i="8" l="1"/>
  <c r="T15" i="8"/>
  <c r="T8" i="9"/>
  <c r="T10" i="9" s="1"/>
  <c r="T13" i="9" s="1"/>
  <c r="U9" i="9" l="1"/>
  <c r="U11" i="8"/>
  <c r="U12" i="8" l="1"/>
  <c r="V9" i="8" s="1"/>
  <c r="U14" i="8"/>
  <c r="V13" i="8" l="1"/>
  <c r="V11" i="8" s="1"/>
  <c r="V12" i="8" s="1"/>
  <c r="W9" i="8" s="1"/>
  <c r="W13" i="8" s="1"/>
  <c r="W11" i="8" s="1"/>
  <c r="W12" i="8" s="1"/>
  <c r="X9" i="8" s="1"/>
  <c r="X13" i="8" s="1"/>
  <c r="X11" i="8" s="1"/>
  <c r="X12" i="8" s="1"/>
  <c r="Y9" i="8" s="1"/>
  <c r="U15" i="8"/>
  <c r="U8" i="9"/>
  <c r="U10" i="9" s="1"/>
  <c r="U13" i="9" s="1"/>
  <c r="V14" i="8" l="1"/>
  <c r="V9" i="9"/>
  <c r="W14" i="8"/>
  <c r="W9" i="9"/>
  <c r="X14" i="8"/>
  <c r="X9" i="9"/>
  <c r="Y13" i="8"/>
  <c r="V8" i="9" l="1"/>
  <c r="V10" i="9" s="1"/>
  <c r="V13" i="9" s="1"/>
  <c r="V15" i="8"/>
  <c r="W15" i="8"/>
  <c r="W8" i="9"/>
  <c r="W10" i="9" s="1"/>
  <c r="W13" i="9" s="1"/>
  <c r="X8" i="9"/>
  <c r="X10" i="9" s="1"/>
  <c r="X13" i="9" s="1"/>
  <c r="X15" i="8"/>
  <c r="Y9" i="9"/>
  <c r="Y11" i="8"/>
  <c r="Y14" i="8" l="1"/>
  <c r="Y12" i="8"/>
  <c r="Z9" i="8" s="1"/>
  <c r="Y15" i="8" l="1"/>
  <c r="Y8" i="9"/>
  <c r="Y10" i="9" s="1"/>
  <c r="Y13" i="9" s="1"/>
  <c r="Z13" i="8"/>
  <c r="Z11" i="8" s="1"/>
  <c r="Z12" i="8" s="1"/>
  <c r="AA9" i="8" s="1"/>
  <c r="AA13" i="8" s="1"/>
  <c r="Z14" i="8" l="1"/>
  <c r="Z9" i="9"/>
  <c r="AA11" i="8"/>
  <c r="AA9" i="9"/>
  <c r="AA12" i="8" l="1"/>
  <c r="AB9" i="8" s="1"/>
  <c r="AA14" i="8"/>
  <c r="Z15" i="8"/>
  <c r="Z8" i="9"/>
  <c r="Z10" i="9" s="1"/>
  <c r="Z13" i="9" s="1"/>
  <c r="AB12" i="8" l="1"/>
  <c r="AC9" i="8" s="1"/>
  <c r="AB13" i="8"/>
  <c r="AA15" i="8"/>
  <c r="B7" i="11" s="1"/>
  <c r="C7" i="11" s="1"/>
  <c r="AA8" i="9"/>
  <c r="AA10" i="9" s="1"/>
  <c r="AA13" i="9" s="1"/>
  <c r="AB9" i="9" l="1"/>
  <c r="AB14" i="8"/>
  <c r="AC12" i="8"/>
  <c r="AD9" i="8" s="1"/>
  <c r="AC13" i="8"/>
  <c r="AB15" i="8" l="1"/>
  <c r="AB8" i="9"/>
  <c r="AB10" i="9" s="1"/>
  <c r="AB13" i="9" s="1"/>
  <c r="AD12" i="8"/>
  <c r="AE9" i="8" s="1"/>
  <c r="AD13" i="8"/>
  <c r="AC14" i="8"/>
  <c r="AC9" i="9"/>
  <c r="AE13" i="8" l="1"/>
  <c r="AE12" i="8"/>
  <c r="AF9" i="8" s="1"/>
  <c r="AD14" i="8"/>
  <c r="AD9" i="9"/>
  <c r="AC8" i="9"/>
  <c r="AC10" i="9" s="1"/>
  <c r="AC13" i="9" s="1"/>
  <c r="AC15" i="8"/>
  <c r="AF12" i="8" l="1"/>
  <c r="AG9" i="8" s="1"/>
  <c r="AF13" i="8"/>
  <c r="AE14" i="8"/>
  <c r="AE9" i="9"/>
  <c r="AD15" i="8"/>
  <c r="AD8" i="9"/>
  <c r="AD10" i="9" s="1"/>
  <c r="AD13" i="9" s="1"/>
  <c r="AG13" i="8" l="1"/>
  <c r="AG12" i="8"/>
  <c r="B5" i="11" s="1"/>
  <c r="C5" i="11" s="1"/>
  <c r="C10" i="11" s="1"/>
  <c r="AE8" i="9"/>
  <c r="AE10" i="9" s="1"/>
  <c r="AE13" i="9" s="1"/>
  <c r="AE15" i="8"/>
  <c r="AF9" i="9"/>
  <c r="AF14" i="8"/>
  <c r="AG14" i="8" l="1"/>
  <c r="AG9" i="9"/>
  <c r="AF8" i="9"/>
  <c r="AF10" i="9" s="1"/>
  <c r="AF13" i="9" s="1"/>
  <c r="AF15" i="8"/>
  <c r="AG15" i="8" l="1"/>
  <c r="AG8" i="9"/>
  <c r="AG10" i="9" s="1"/>
  <c r="AG13" i="9" s="1"/>
  <c r="C17" i="9" l="1"/>
  <c r="C16" i="9"/>
  <c r="B26" i="2" s="1"/>
  <c r="B30" i="2" s="1"/>
</calcChain>
</file>

<file path=xl/sharedStrings.xml><?xml version="1.0" encoding="utf-8"?>
<sst xmlns="http://schemas.openxmlformats.org/spreadsheetml/2006/main" count="378" uniqueCount="253">
  <si>
    <t>Rota 2 de Julho (BR-116 e BR-324/BA): quanto vale ganhar esse leilão?</t>
  </si>
  <si>
    <t>Pergunta</t>
  </si>
  <si>
    <t>Qual o maior desconto na tarifa teto que um investidor de equity pode oferecer e ainda atingir o retorno exigido?</t>
  </si>
  <si>
    <t>Leilão</t>
  </si>
  <si>
    <t>18/12/2026 (B3)</t>
  </si>
  <si>
    <t>Base</t>
  </si>
  <si>
    <t>Modelo econômico-financeiro do governo (MEF V4, 01/09/2026), valores reais da data-base, em R$ milhões</t>
  </si>
  <si>
    <t>Resultado principal</t>
  </si>
  <si>
    <t>Convenção de cores</t>
  </si>
  <si>
    <t>1.234</t>
  </si>
  <si>
    <t>Número digitado (entrada ou dado do MEF)</t>
  </si>
  <si>
    <t>Fórmula</t>
  </si>
  <si>
    <t>Link para outra aba</t>
  </si>
  <si>
    <t>Abas</t>
  </si>
  <si>
    <t>1. Premissas</t>
  </si>
  <si>
    <t>2. Cenários</t>
  </si>
  <si>
    <t>Seletor base / pessimista / otimista</t>
  </si>
  <si>
    <t>Dados_MEF</t>
  </si>
  <si>
    <t>Séries anuais copiadas do modelo do governo (não mexer)</t>
  </si>
  <si>
    <t>3. Receita</t>
  </si>
  <si>
    <t>Receita com o desconto do lance</t>
  </si>
  <si>
    <t>4. Custos</t>
  </si>
  <si>
    <t>Opex e capex</t>
  </si>
  <si>
    <t>5. Caixa</t>
  </si>
  <si>
    <t>EBITDA, impostos e caixa disponível para a dívida</t>
  </si>
  <si>
    <t>6. Dívida</t>
  </si>
  <si>
    <t>Tamanho da dívida pelo ICSD e cronograma</t>
  </si>
  <si>
    <t>7. Retornos</t>
  </si>
  <si>
    <t>TIR do projeto, TIR do acionista e desconto máximo</t>
  </si>
  <si>
    <t>8. Sensibilidades</t>
  </si>
  <si>
    <t>9. Checagens</t>
  </si>
  <si>
    <t>Testes que precisam dar zero / verdadeiro</t>
  </si>
  <si>
    <t>Valores em termos reais (sem inflação), R$ milhões, na data-base do MEF. Células amarelas são entradas.</t>
  </si>
  <si>
    <t>Premissa</t>
  </si>
  <si>
    <t>Valor</t>
  </si>
  <si>
    <t>Unidade</t>
  </si>
  <si>
    <t>Fonte / comentário</t>
  </si>
  <si>
    <t>LEILÃO</t>
  </si>
  <si>
    <t>Desconto ofertado sobre a tarifa teto</t>
  </si>
  <si>
    <t>%</t>
  </si>
  <si>
    <t>Variável de decisão. Começa em 0% para calibrar o modelo com o MEF</t>
  </si>
  <si>
    <t>Prazo da concessão</t>
  </si>
  <si>
    <t>anos</t>
  </si>
  <si>
    <t>MEF, aba Resumo Fin.</t>
  </si>
  <si>
    <t>Tarifa teto pista simples (ano 1)</t>
  </si>
  <si>
    <t>R$/km</t>
  </si>
  <si>
    <t>Tarifa teto pista dupla (ano 1)</t>
  </si>
  <si>
    <t>TIR de referência do governo (real)</t>
  </si>
  <si>
    <t>MEF, aba WACC: TLP 7,55% + spread CR 2 de 4,94%</t>
  </si>
  <si>
    <t>TRIBUTOS E VERBAS</t>
  </si>
  <si>
    <t>Deduções sobre a receita bruta (ISS + PIS/COFINS)</t>
  </si>
  <si>
    <t>Implícito no MEF (deduções ÷ receita bruta)</t>
  </si>
  <si>
    <t>IR + CSLL</t>
  </si>
  <si>
    <t>Lucro real</t>
  </si>
  <si>
    <t>Verbas vinculadas à receita</t>
  </si>
  <si>
    <t>MEF: recursos vinculados 1% + infraestrutura resiliente 1%</t>
  </si>
  <si>
    <t>DÍVIDA</t>
  </si>
  <si>
    <t>Custo real da dívida (acima do IPCA)</t>
  </si>
  <si>
    <t>% a.a.</t>
  </si>
  <si>
    <t>A VERIFICAR: debêntures incentivadas / BNDES de infraestrutura em 2026</t>
  </si>
  <si>
    <t>ICSD mínimo exigido</t>
  </si>
  <si>
    <t>x</t>
  </si>
  <si>
    <t>A VERIFICAR: referência usual de bancos e debenturistas</t>
  </si>
  <si>
    <t>Primeiro ano de amortização</t>
  </si>
  <si>
    <t>ano</t>
  </si>
  <si>
    <t>Último ano de amortização</t>
  </si>
  <si>
    <t>Termina 6 anos antes do fim da concessão (folga, ou 'tail')</t>
  </si>
  <si>
    <t>ACIONISTA</t>
  </si>
  <si>
    <t>Retorno real exigido pelo equity (hurdle)</t>
  </si>
  <si>
    <t>A DEFINIR com você: acima do custo da dívida e da TIR do projeto?</t>
  </si>
  <si>
    <t>CENÁRIO</t>
  </si>
  <si>
    <t>Cenário ativo (1 = base, 2 = pessimista, 3 = otimista)</t>
  </si>
  <si>
    <t>Escolhe a coluna da aba 2. Cenários</t>
  </si>
  <si>
    <t>Cada linha tem um valor por cenário. A coluna 'Ativo' escolhe o valor conforme a célula de cenário da aba 1 (função ESCOLHER).</t>
  </si>
  <si>
    <t>Variável</t>
  </si>
  <si>
    <t>Pessimista</t>
  </si>
  <si>
    <t>Otimista</t>
  </si>
  <si>
    <t>Ativo</t>
  </si>
  <si>
    <t>Por quê</t>
  </si>
  <si>
    <t>Fator de tráfego (1 = estudo do governo)</t>
  </si>
  <si>
    <t>Pessimista: fuga e trecho urbano abaixo do estudo; otimista: crescimento acima</t>
  </si>
  <si>
    <t>Fator de capex (1 = orçamento do governo)</t>
  </si>
  <si>
    <t>Estouro de obra é o risco clássico de rodovia</t>
  </si>
  <si>
    <t>Fator de opex</t>
  </si>
  <si>
    <t>Ajuste no custo da dívida (p.p.)</t>
  </si>
  <si>
    <t>Juros mudando entre o edital e o leilão</t>
  </si>
  <si>
    <t>Dados do MEF (modelo do governo, V4 de 01/09/2026)</t>
  </si>
  <si>
    <t>R$ milhões reais, data-base do MEF. Copiado das abas FS e CP. Não editar: as outras abas puxam daqui.</t>
  </si>
  <si>
    <t>Sinais: custos aparecem positivos. Capital de giro positivo = consome caixa.</t>
  </si>
  <si>
    <t>Ano da concessão</t>
  </si>
  <si>
    <t>Total</t>
  </si>
  <si>
    <t>Fonte no MEF</t>
  </si>
  <si>
    <t>TRÁFEGO E TARIFA</t>
  </si>
  <si>
    <t>Veículos equivalentes nos 12 pórticos</t>
  </si>
  <si>
    <t>milhões/ano</t>
  </si>
  <si>
    <t>CP, linha 64</t>
  </si>
  <si>
    <t>Tarifa teto de pista simples (com degraus)</t>
  </si>
  <si>
    <t>CP, linha 81</t>
  </si>
  <si>
    <t>Extensão cobrada em pista simples</t>
  </si>
  <si>
    <t>km</t>
  </si>
  <si>
    <t>CP, linha 112</t>
  </si>
  <si>
    <t>Extensão cobrada em pista dupla</t>
  </si>
  <si>
    <t>CP, linha 128</t>
  </si>
  <si>
    <t>Inadimplência do free flow</t>
  </si>
  <si>
    <t>CP, linha 79</t>
  </si>
  <si>
    <t>RECEITA (tarifa teto, sem desconto)</t>
  </si>
  <si>
    <t>Receita tarifária</t>
  </si>
  <si>
    <t>R$ mi</t>
  </si>
  <si>
    <t>FS, linha 60</t>
  </si>
  <si>
    <t>Receita de recuperação (cobrança de inadimplentes)</t>
  </si>
  <si>
    <t>FS, linha 61</t>
  </si>
  <si>
    <t>Juros e mora</t>
  </si>
  <si>
    <t>FS, linha 62</t>
  </si>
  <si>
    <t>Compensação de evasão (paga pelo poder concedente)</t>
  </si>
  <si>
    <t>FS, linha 63</t>
  </si>
  <si>
    <t>Receita acessória</t>
  </si>
  <si>
    <t>FS, linha 65</t>
  </si>
  <si>
    <t>Deduções (ISS, PIS/COFINS)</t>
  </si>
  <si>
    <t>FS, linha 66</t>
  </si>
  <si>
    <t>OPEX</t>
  </si>
  <si>
    <t>Conservação</t>
  </si>
  <si>
    <t>CP, linha 220</t>
  </si>
  <si>
    <t>Monitoração</t>
  </si>
  <si>
    <t>CP, linha 227</t>
  </si>
  <si>
    <t>Operação (mão de obra, veículos, sistemas)</t>
  </si>
  <si>
    <t>CP, linha 232</t>
  </si>
  <si>
    <t>Energia</t>
  </si>
  <si>
    <t>CP, linha 240</t>
  </si>
  <si>
    <t>Despesas administrativas</t>
  </si>
  <si>
    <t>CP, linha 247</t>
  </si>
  <si>
    <t>Opex socioambiental</t>
  </si>
  <si>
    <t>CP, linha 251</t>
  </si>
  <si>
    <t>Recursos vinculados (1% da receita)</t>
  </si>
  <si>
    <t>CP, linha 253</t>
  </si>
  <si>
    <t>Verbas obrigatórias (fiscalização, tecnologia, infra resiliente)</t>
  </si>
  <si>
    <t>CP, linha 256</t>
  </si>
  <si>
    <t>Seguros e garantias</t>
  </si>
  <si>
    <t>CP, linha 261</t>
  </si>
  <si>
    <t>Opex total</t>
  </si>
  <si>
    <t>FS, linha 68</t>
  </si>
  <si>
    <t>CAPEX</t>
  </si>
  <si>
    <t>Trabalhos iniciais, restauração e manutenção</t>
  </si>
  <si>
    <t>CP, linha 277</t>
  </si>
  <si>
    <t>Ampliação de capacidade (duplicações, faixas, OAEs)</t>
  </si>
  <si>
    <t>CP, linha 281</t>
  </si>
  <si>
    <t>Edificações</t>
  </si>
  <si>
    <t>CP, linha 294</t>
  </si>
  <si>
    <t>Equipamentos e sistemas (pórticos, veículos)</t>
  </si>
  <si>
    <t>CP, linha 304</t>
  </si>
  <si>
    <t>Passivos ambientais</t>
  </si>
  <si>
    <t>CP, linha 319</t>
  </si>
  <si>
    <t>Desapropriação</t>
  </si>
  <si>
    <t>CP, linha 321</t>
  </si>
  <si>
    <t>Ressarcimento dos estudos e da B3</t>
  </si>
  <si>
    <t>CP, linha 271</t>
  </si>
  <si>
    <t>Capex total</t>
  </si>
  <si>
    <t>FS, linha 79</t>
  </si>
  <si>
    <t>OUTROS (para conferência)</t>
  </si>
  <si>
    <t>Variação do capital de giro</t>
  </si>
  <si>
    <t>FS, linha 70</t>
  </si>
  <si>
    <t>Amortização do intangível</t>
  </si>
  <si>
    <t>FS, linha 15</t>
  </si>
  <si>
    <t>IR/CSLL do MEF</t>
  </si>
  <si>
    <t>FS, linha 71</t>
  </si>
  <si>
    <t>Fluxo de caixa do projeto do MEF (TIR = 12,49%)</t>
  </si>
  <si>
    <t>FS, linha 81</t>
  </si>
  <si>
    <t>Receita com o desconto do lance: receita do MEF × (1 − desconto) × fator de tráfego. A receita acessória não depende da tarifa.</t>
  </si>
  <si>
    <t>TRÁFEGO E TARIFA (para entender a receita)</t>
  </si>
  <si>
    <t>Veículos equivalentes</t>
  </si>
  <si>
    <t>Tarifa média por veículo equivalente (MEF)</t>
  </si>
  <si>
    <t>R$</t>
  </si>
  <si>
    <t>Fator de receita: (1 − desconto) × fator de tráfego</t>
  </si>
  <si>
    <t>RECEITA</t>
  </si>
  <si>
    <t>Receita de recuperação + juros e mora</t>
  </si>
  <si>
    <t>Compensação de evasão</t>
  </si>
  <si>
    <t>Receita bruta</t>
  </si>
  <si>
    <t>(−) Deduções</t>
  </si>
  <si>
    <t>Receita líquida</t>
  </si>
  <si>
    <t>Opex e capex do MEF ajustados pelo cenário. As verbas vinculadas acompanham a receita (com desconto, caem junto).</t>
  </si>
  <si>
    <t>Opex fixo (opex do MEF sem as verbas vinculadas)</t>
  </si>
  <si>
    <t>Verbas vinculadas (2% da receita bruta)</t>
  </si>
  <si>
    <t>Do EBITDA ao caixa disponível para a dívida (CFADS) e ao fluxo do projeto sem dívida.</t>
  </si>
  <si>
    <t>RESULTADO</t>
  </si>
  <si>
    <t>(−) Opex</t>
  </si>
  <si>
    <t>EBITDA</t>
  </si>
  <si>
    <t>Margem EBITDA</t>
  </si>
  <si>
    <t>(−) Amortização</t>
  </si>
  <si>
    <t>EBIT</t>
  </si>
  <si>
    <t>(−) IR/CSLL</t>
  </si>
  <si>
    <t>CAIXA</t>
  </si>
  <si>
    <t>(−) Variação do capital de giro</t>
  </si>
  <si>
    <t>Caixa operacional (CFADS)</t>
  </si>
  <si>
    <t>(−) Capex</t>
  </si>
  <si>
    <t>Fluxo de caixa do projeto (sem dívida)</t>
  </si>
  <si>
    <t>Tamanho da dívida pelo ICSD: parcela máxima = CFADS ÷ ICSD; dívida = valor presente das parcelas.</t>
  </si>
  <si>
    <t>DIMENSIONAMENTO</t>
  </si>
  <si>
    <t>Ano de amortização? (1 = sim)</t>
  </si>
  <si>
    <t>flag</t>
  </si>
  <si>
    <t>Serviço máximo da dívida (CFADS ÷ ICSD)</t>
  </si>
  <si>
    <t>CRONOGRAMA</t>
  </si>
  <si>
    <t>Saldo inicial</t>
  </si>
  <si>
    <t>(+) Captação</t>
  </si>
  <si>
    <t>Saldo final</t>
  </si>
  <si>
    <t>Juros</t>
  </si>
  <si>
    <t>Serviço da dívida (juros + amortização)</t>
  </si>
  <si>
    <t>ICSD</t>
  </si>
  <si>
    <t>Fluxo do acionista e TIRs. O desconto máximo sai do Atingir Meta (TIR do equity = hurdle).</t>
  </si>
  <si>
    <t>FLUXOS</t>
  </si>
  <si>
    <t>Fluxo do projeto</t>
  </si>
  <si>
    <t>(+) Captação de dívida</t>
  </si>
  <si>
    <t>(−) Serviço da dívida</t>
  </si>
  <si>
    <t>(+) Benefício fiscal dos juros</t>
  </si>
  <si>
    <t>Fluxo do acionista</t>
  </si>
  <si>
    <t>RESULTADOS (só na coluna C)</t>
  </si>
  <si>
    <t>TIR do projeto</t>
  </si>
  <si>
    <t>TIR do acionista</t>
  </si>
  <si>
    <t>VPL do acionista no hurdle</t>
  </si>
  <si>
    <t>(ao longo do caminho) Ex.: com desconto 0%, a TIR do projeto precisa dar ~12,49%.</t>
  </si>
  <si>
    <t>Alavancagem máxima na construção</t>
  </si>
  <si>
    <t>Custo da dívida no cenário</t>
  </si>
  <si>
    <t>Capacidade de dívida (VP do serviço máximo)</t>
  </si>
  <si>
    <t>Capex da construção</t>
  </si>
  <si>
    <t>Alavancagem usada</t>
  </si>
  <si>
    <t>Dívida total</t>
  </si>
  <si>
    <t>% do capex</t>
  </si>
  <si>
    <t>Fluxo antes do lock-up</t>
  </si>
  <si>
    <t>(−) Caixa retido na obra</t>
  </si>
  <si>
    <t>(+) Liberação do caixa retido</t>
  </si>
  <si>
    <t>TIR do acionista (resultado)</t>
  </si>
  <si>
    <t>Carência durante a obra pesada (anos 1 a 8)</t>
  </si>
  <si>
    <t>Bancos raramente financiam mais de 70% da obra</t>
  </si>
  <si>
    <t>Sensibilidade: TIR do acionista (linhas = desconto, colunas = cenário)</t>
  </si>
  <si>
    <t>Desconto</t>
  </si>
  <si>
    <t>Dívida quitada no fim</t>
  </si>
  <si>
    <t>Toda a dívida captada</t>
  </si>
  <si>
    <t xml:space="preserve">ICSD mínimo na amortização	</t>
  </si>
  <si>
    <t>Caixa retido todo liberado</t>
  </si>
  <si>
    <t>Capex igual ao MEF × cenário</t>
  </si>
  <si>
    <t>TUDO OK?</t>
  </si>
  <si>
    <t>Teste</t>
  </si>
  <si>
    <t>OK?</t>
  </si>
  <si>
    <t xml:space="preserve">Hurdle </t>
  </si>
  <si>
    <t>Retorno do acionista para cada desconto ofertado, por cenário.</t>
  </si>
  <si>
    <t>Tabela viva: aba 1, linhas 29-39. Abaixo, cópia em valores (cenário base: desconto 25,2%, hurdle 12%)</t>
  </si>
  <si>
    <t>desconto máximo com hurdle de 12% real (cenário base)</t>
  </si>
  <si>
    <t>checagens do modelo</t>
  </si>
  <si>
    <t>Resultado-chave</t>
  </si>
  <si>
    <t>TIR do acionista × desconto, por cenário (gráfico)</t>
  </si>
  <si>
    <t>Todas as entradas do modelo, com fonte, e a tabela de sensibilidade viva</t>
  </si>
  <si>
    <t>Autora</t>
  </si>
  <si>
    <t>Maria Luísa Gama · out/2026</t>
  </si>
  <si>
    <t>Aviso</t>
  </si>
  <si>
    <t>Modelo de estudo com dados públicos; não é recomendação de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</si>
</sst>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&quot;x&quot;"/>
    <numFmt numFmtId="166" formatCode="#,##0.0"/>
    <numFmt numFmtId="167" formatCode="0.0%"/>
    <numFmt numFmtId="172" formatCode="_-[$R$-416]\ * #,##0.00_-;\-[$R$-416]\ * #,##0.00_-;_-[$R$-416]\ * &quot;-&quot;??_-;_-@_-"/>
    <numFmt numFmtId="175" formatCode=";;;"/>
  </numFmts>
  <fonts count="1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i/>
      <sz val="9"/>
      <color rgb="FF7F7F7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rgb="FFFFFFFF"/>
      <name val="Calibri"/>
    </font>
    <font>
      <i/>
      <sz val="9"/>
      <color rgb="FFC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7F7F7F"/>
      <name val="Calibri"/>
      <family val="2"/>
    </font>
    <font>
      <i/>
      <sz val="11"/>
      <color theme="0" tint="-0.499984740745262"/>
      <name val="Calibri"/>
      <family val="2"/>
      <scheme val="minor"/>
    </font>
    <font>
      <b/>
      <sz val="14"/>
      <color theme="3" tint="-0.499984740745262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2" fillId="5" borderId="0" xfId="0" applyFont="1" applyFill="1"/>
    <xf numFmtId="0" fontId="0" fillId="5" borderId="0" xfId="0" applyFill="1"/>
    <xf numFmtId="10" fontId="4" fillId="2" borderId="0" xfId="0" applyNumberFormat="1" applyFont="1" applyFill="1"/>
    <xf numFmtId="164" fontId="4" fillId="2" borderId="0" xfId="0" applyNumberFormat="1" applyFont="1" applyFill="1"/>
    <xf numFmtId="0" fontId="8" fillId="0" borderId="0" xfId="0" applyFont="1"/>
    <xf numFmtId="165" fontId="4" fillId="2" borderId="0" xfId="0" applyNumberFormat="1" applyFont="1" applyFill="1"/>
    <xf numFmtId="2" fontId="4" fillId="2" borderId="0" xfId="0" applyNumberFormat="1" applyFont="1" applyFill="1"/>
    <xf numFmtId="0" fontId="0" fillId="3" borderId="0" xfId="0" applyFill="1"/>
    <xf numFmtId="0" fontId="7" fillId="4" borderId="0" xfId="0" applyFont="1" applyFill="1" applyAlignment="1">
      <alignment horizontal="center"/>
    </xf>
    <xf numFmtId="3" fontId="2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/>
    <xf numFmtId="9" fontId="0" fillId="0" borderId="0" xfId="0" applyNumberFormat="1"/>
    <xf numFmtId="10" fontId="0" fillId="0" borderId="0" xfId="0" applyNumberFormat="1"/>
    <xf numFmtId="9" fontId="4" fillId="2" borderId="0" xfId="0" applyNumberFormat="1" applyFont="1" applyFill="1"/>
    <xf numFmtId="172" fontId="0" fillId="0" borderId="0" xfId="0" applyNumberFormat="1"/>
    <xf numFmtId="167" fontId="0" fillId="0" borderId="0" xfId="1" applyNumberFormat="1" applyFont="1"/>
    <xf numFmtId="175" fontId="0" fillId="0" borderId="0" xfId="0" applyNumberFormat="1"/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167" fontId="0" fillId="0" borderId="0" xfId="0" applyNumberFormat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13" fillId="0" borderId="0" xfId="0" applyNumberFormat="1" applyFont="1" applyAlignment="1">
      <alignment horizontal="left"/>
    </xf>
    <xf numFmtId="0" fontId="14" fillId="0" borderId="0" xfId="0" applyFont="1"/>
  </cellXfs>
  <cellStyles count="2">
    <cellStyle name="Normal" xfId="0" builtinId="0"/>
    <cellStyle name="Porcentagem" xfId="1" builtinId="5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Desconto máximo: ~35% (otimista), ~25% (base), ~1,5% (pessimista)</a:t>
            </a:r>
            <a:br>
              <a:rPr lang="pt-BR" sz="1400" b="0" i="0" u="none" strike="noStrike" baseline="0"/>
            </a:br>
            <a:r>
              <a:rPr lang="pt-BR" sz="1400" b="0" i="0" u="none" strike="noStrike" baseline="0"/>
              <a:t>TIR real do acionista × desconto ofertado; hurdle de 12%</a:t>
            </a:r>
            <a:endParaRPr lang="pt-BR"/>
          </a:p>
        </c:rich>
      </c:tx>
      <c:layout>
        <c:manualLayout>
          <c:xMode val="edge"/>
          <c:yMode val="edge"/>
          <c:x val="0.10751880865919621"/>
          <c:y val="2.8661356667639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Sensibilidades'!$B$5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Sensibilidades'!$B$6:$B$14</c:f>
              <c:numCache>
                <c:formatCode>0.0%</c:formatCode>
                <c:ptCount val="9"/>
                <c:pt idx="0">
                  <c:v>0.43769204893604141</c:v>
                </c:pt>
                <c:pt idx="1">
                  <c:v>0.35644292052342363</c:v>
                </c:pt>
                <c:pt idx="2">
                  <c:v>0.28583101947615686</c:v>
                </c:pt>
                <c:pt idx="3">
                  <c:v>0.23389195827876619</c:v>
                </c:pt>
                <c:pt idx="4">
                  <c:v>0.17124676192049493</c:v>
                </c:pt>
                <c:pt idx="5">
                  <c:v>0.12221583977416706</c:v>
                </c:pt>
                <c:pt idx="6">
                  <c:v>9.058216726454793E-2</c:v>
                </c:pt>
                <c:pt idx="7">
                  <c:v>6.726951599893316E-2</c:v>
                </c:pt>
                <c:pt idx="8">
                  <c:v>4.8017358882562089E-2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D-4A66-8FA4-4345C8534159}"/>
            </c:ext>
          </c:extLst>
        </c:ser>
        <c:ser>
          <c:idx val="1"/>
          <c:order val="1"/>
          <c:tx>
            <c:strRef>
              <c:f>'8. Sensibilidades'!$C$5</c:f>
              <c:strCache>
                <c:ptCount val="1"/>
                <c:pt idx="0">
                  <c:v>Pessimista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Sensibilidades'!$C$6:$C$14</c:f>
              <c:numCache>
                <c:formatCode>0.0%</c:formatCode>
                <c:ptCount val="9"/>
                <c:pt idx="0">
                  <c:v>0.12904883012809831</c:v>
                </c:pt>
                <c:pt idx="1">
                  <c:v>0.1037018157817049</c:v>
                </c:pt>
                <c:pt idx="2">
                  <c:v>8.3937600986382366E-2</c:v>
                </c:pt>
                <c:pt idx="3">
                  <c:v>6.7587585069809997E-2</c:v>
                </c:pt>
                <c:pt idx="4">
                  <c:v>5.3250049779325348E-2</c:v>
                </c:pt>
                <c:pt idx="5">
                  <c:v>4.0382610060192725E-2</c:v>
                </c:pt>
                <c:pt idx="6">
                  <c:v>2.8622029913001557E-2</c:v>
                </c:pt>
                <c:pt idx="7">
                  <c:v>1.7373489125428021E-2</c:v>
                </c:pt>
                <c:pt idx="8">
                  <c:v>6.3323550590068667E-3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CD-4A66-8FA4-4345C8534159}"/>
            </c:ext>
          </c:extLst>
        </c:ser>
        <c:ser>
          <c:idx val="2"/>
          <c:order val="2"/>
          <c:tx>
            <c:strRef>
              <c:f>'8. Sensibilidades'!$D$5</c:f>
              <c:strCache>
                <c:ptCount val="1"/>
                <c:pt idx="0">
                  <c:v>Otimista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Sensibilidades'!$D$6:$D$14</c:f>
              <c:numCache>
                <c:formatCode>0.0%</c:formatCode>
                <c:ptCount val="9"/>
                <c:pt idx="0">
                  <c:v>0.65141421846724423</c:v>
                </c:pt>
                <c:pt idx="1">
                  <c:v>0.54652691327404579</c:v>
                </c:pt>
                <c:pt idx="2">
                  <c:v>0.4422650376052637</c:v>
                </c:pt>
                <c:pt idx="3">
                  <c:v>0.35624119239946861</c:v>
                </c:pt>
                <c:pt idx="4">
                  <c:v>0.28133646427555803</c:v>
                </c:pt>
                <c:pt idx="5">
                  <c:v>0.22538257302853237</c:v>
                </c:pt>
                <c:pt idx="6">
                  <c:v>0.18128438857437201</c:v>
                </c:pt>
                <c:pt idx="7">
                  <c:v>0.12086581354363202</c:v>
                </c:pt>
                <c:pt idx="8">
                  <c:v>8.4026680649877061E-2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D-4A66-8FA4-4345C8534159}"/>
            </c:ext>
          </c:extLst>
        </c:ser>
        <c:ser>
          <c:idx val="3"/>
          <c:order val="3"/>
          <c:tx>
            <c:strRef>
              <c:f>'8. Sensibilidades'!$E$5</c:f>
              <c:strCache>
                <c:ptCount val="1"/>
                <c:pt idx="0">
                  <c:v>Hurdle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Sensibilidades'!$E$6:$E$14</c:f>
              <c:numCache>
                <c:formatCode>0.0%</c:formatCode>
                <c:ptCount val="9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CD-4A66-8FA4-4345C8534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689008"/>
        <c:axId val="1049685168"/>
      </c:lineChart>
      <c:catAx>
        <c:axId val="104968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Desconto ofertado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685168"/>
        <c:crosses val="autoZero"/>
        <c:auto val="1"/>
        <c:lblAlgn val="ctr"/>
        <c:lblOffset val="100"/>
        <c:noMultiLvlLbl val="0"/>
      </c:catAx>
      <c:valAx>
        <c:axId val="1049685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TIR do acionista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6890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Desconto máximo: ~35% (otimista), ~25% (base), ~1,5% (pessimista)</a:t>
            </a:r>
            <a:br>
              <a:rPr lang="pt-BR" sz="1400" b="0" i="0" u="none" strike="noStrike" baseline="0"/>
            </a:br>
            <a:r>
              <a:rPr lang="pt-BR" sz="1400" b="0" i="0" u="none" strike="noStrike" baseline="0"/>
              <a:t>TIR real do acionista × desconto ofertado; hurdle de 12%</a:t>
            </a:r>
            <a:endParaRPr lang="pt-BR"/>
          </a:p>
        </c:rich>
      </c:tx>
      <c:layout>
        <c:manualLayout>
          <c:xMode val="edge"/>
          <c:yMode val="edge"/>
          <c:x val="0.10751880865919621"/>
          <c:y val="2.8661356667639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'8. Sensibilidades'!$B$5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Sensibilidades'!$B$6:$B$14</c:f>
              <c:numCache>
                <c:formatCode>0.0%</c:formatCode>
                <c:ptCount val="9"/>
                <c:pt idx="0">
                  <c:v>0.43769204893604141</c:v>
                </c:pt>
                <c:pt idx="1">
                  <c:v>0.35644292052342363</c:v>
                </c:pt>
                <c:pt idx="2">
                  <c:v>0.28583101947615686</c:v>
                </c:pt>
                <c:pt idx="3">
                  <c:v>0.23389195827876619</c:v>
                </c:pt>
                <c:pt idx="4">
                  <c:v>0.17124676192049493</c:v>
                </c:pt>
                <c:pt idx="5">
                  <c:v>0.12221583977416706</c:v>
                </c:pt>
                <c:pt idx="6">
                  <c:v>9.058216726454793E-2</c:v>
                </c:pt>
                <c:pt idx="7">
                  <c:v>6.726951599893316E-2</c:v>
                </c:pt>
                <c:pt idx="8">
                  <c:v>4.8017358882562089E-2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F-49BC-ACB7-744A807B66DB}"/>
            </c:ext>
          </c:extLst>
        </c:ser>
        <c:ser>
          <c:idx val="1"/>
          <c:order val="1"/>
          <c:tx>
            <c:strRef>
              <c:f>'8. Sensibilidades'!$C$5</c:f>
              <c:strCache>
                <c:ptCount val="1"/>
                <c:pt idx="0">
                  <c:v>Pessimista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Sensibilidades'!$C$6:$C$14</c:f>
              <c:numCache>
                <c:formatCode>0.0%</c:formatCode>
                <c:ptCount val="9"/>
                <c:pt idx="0">
                  <c:v>0.12904883012809831</c:v>
                </c:pt>
                <c:pt idx="1">
                  <c:v>0.1037018157817049</c:v>
                </c:pt>
                <c:pt idx="2">
                  <c:v>8.3937600986382366E-2</c:v>
                </c:pt>
                <c:pt idx="3">
                  <c:v>6.7587585069809997E-2</c:v>
                </c:pt>
                <c:pt idx="4">
                  <c:v>5.3250049779325348E-2</c:v>
                </c:pt>
                <c:pt idx="5">
                  <c:v>4.0382610060192725E-2</c:v>
                </c:pt>
                <c:pt idx="6">
                  <c:v>2.8622029913001557E-2</c:v>
                </c:pt>
                <c:pt idx="7">
                  <c:v>1.7373489125428021E-2</c:v>
                </c:pt>
                <c:pt idx="8">
                  <c:v>6.3323550590068667E-3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F-49BC-ACB7-744A807B66DB}"/>
            </c:ext>
          </c:extLst>
        </c:ser>
        <c:ser>
          <c:idx val="2"/>
          <c:order val="2"/>
          <c:tx>
            <c:strRef>
              <c:f>'8. Sensibilidades'!$D$5</c:f>
              <c:strCache>
                <c:ptCount val="1"/>
                <c:pt idx="0">
                  <c:v>Otimista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Sensibilidades'!$D$6:$D$14</c:f>
              <c:numCache>
                <c:formatCode>0.0%</c:formatCode>
                <c:ptCount val="9"/>
                <c:pt idx="0">
                  <c:v>0.65141421846724423</c:v>
                </c:pt>
                <c:pt idx="1">
                  <c:v>0.54652691327404579</c:v>
                </c:pt>
                <c:pt idx="2">
                  <c:v>0.4422650376052637</c:v>
                </c:pt>
                <c:pt idx="3">
                  <c:v>0.35624119239946861</c:v>
                </c:pt>
                <c:pt idx="4">
                  <c:v>0.28133646427555803</c:v>
                </c:pt>
                <c:pt idx="5">
                  <c:v>0.22538257302853237</c:v>
                </c:pt>
                <c:pt idx="6">
                  <c:v>0.18128438857437201</c:v>
                </c:pt>
                <c:pt idx="7">
                  <c:v>0.12086581354363202</c:v>
                </c:pt>
                <c:pt idx="8">
                  <c:v>8.4026680649877061E-2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3F-49BC-ACB7-744A807B66DB}"/>
            </c:ext>
          </c:extLst>
        </c:ser>
        <c:ser>
          <c:idx val="3"/>
          <c:order val="3"/>
          <c:tx>
            <c:strRef>
              <c:f>'8. Sensibilidades'!$E$5</c:f>
              <c:strCache>
                <c:ptCount val="1"/>
                <c:pt idx="0">
                  <c:v>Hurdle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'8. Sensibilidades'!$A$6:$A$14</c:f>
              <c:numCache>
                <c:formatCode>0.0%</c:formatCode>
                <c:ptCount val="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</c:numCache>
            </c:numRef>
          </c:cat>
          <c:val>
            <c:numRef>
              <c:f>'8. Sensibilidades'!$E$6:$E$14</c:f>
              <c:numCache>
                <c:formatCode>0.0%</c:formatCode>
                <c:ptCount val="9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3F-49BC-ACB7-744A807B6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689008"/>
        <c:axId val="1049685168"/>
      </c:lineChart>
      <c:catAx>
        <c:axId val="104968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aseline="0"/>
                  <a:t>Desconto ofertado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685168"/>
        <c:crosses val="autoZero"/>
        <c:auto val="1"/>
        <c:lblAlgn val="ctr"/>
        <c:lblOffset val="100"/>
        <c:noMultiLvlLbl val="0"/>
      </c:catAx>
      <c:valAx>
        <c:axId val="1049685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TIR do acionista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6890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1287444</xdr:colOff>
      <xdr:row>29</xdr:row>
      <xdr:rowOff>53498</xdr:rowOff>
    </xdr:from>
    <xdr:to>
      <xdr:col>3</xdr:col>
      <xdr:colOff>4786166</xdr:colOff>
      <xdr:row>50</xdr:row>
      <xdr:rowOff>159846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1D4AFE-9CF2-44A3-8F49-AAA82E64F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0.16252</cdr:x>
      <cdr:y>0.67186</cdr:y>
    </cdr:from>
    <cdr:to>
      <cdr:x>0.17922</cdr:x>
      <cdr:y>0.69671</cdr:y>
    </cdr:to>
    <cdr:sp macro="" textlink="">
      <cdr:nvSpPr>
        <cdr:cNvPr id="2" name="Fluxograma: Conector 1">
          <a:extLst xmlns:a="http://schemas.openxmlformats.org/drawingml/2006/main">
            <a:ext uri="{FF2B5EF4-FFF2-40B4-BE49-F238E27FC236}">
              <a16:creationId xmlns:a16="http://schemas.microsoft.com/office/drawing/2014/main" id="{8D8517ED-4BE8-2FA4-ECE1-F1C11DF546B7}"/>
            </a:ext>
          </a:extLst>
        </cdr:cNvPr>
        <cdr:cNvSpPr/>
      </cdr:nvSpPr>
      <cdr:spPr>
        <a:xfrm xmlns:a="http://schemas.openxmlformats.org/drawingml/2006/main">
          <a:off x="1045502" y="2636594"/>
          <a:ext cx="107459" cy="97512"/>
        </a:xfrm>
        <a:prstGeom xmlns:a="http://schemas.openxmlformats.org/drawingml/2006/main" prst="flowChartConnector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1001">
          <a:schemeClr val="dk1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0.63374</cdr:x>
      <cdr:y>0.66975</cdr:y>
    </cdr:from>
    <cdr:to>
      <cdr:x>0.64686</cdr:x>
      <cdr:y>0.6946</cdr:y>
    </cdr:to>
    <cdr:sp macro="" textlink="">
      <cdr:nvSpPr>
        <cdr:cNvPr id="3" name="Fluxograma: Conector 2">
          <a:extLst xmlns:a="http://schemas.openxmlformats.org/drawingml/2006/main">
            <a:ext uri="{FF2B5EF4-FFF2-40B4-BE49-F238E27FC236}">
              <a16:creationId xmlns:a16="http://schemas.microsoft.com/office/drawing/2014/main" id="{9CFC02D5-0030-C3A6-4695-38C861918478}"/>
            </a:ext>
          </a:extLst>
        </cdr:cNvPr>
        <cdr:cNvSpPr/>
      </cdr:nvSpPr>
      <cdr:spPr>
        <a:xfrm xmlns:a="http://schemas.openxmlformats.org/drawingml/2006/main">
          <a:off x="4125052" y="2670921"/>
          <a:ext cx="85429" cy="99092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0.16584</cdr:x>
      <cdr:y>0.67131</cdr:y>
    </cdr:from>
    <cdr:to>
      <cdr:x>0.17897</cdr:x>
      <cdr:y>0.69616</cdr:y>
    </cdr:to>
    <cdr:sp macro="" textlink="">
      <cdr:nvSpPr>
        <cdr:cNvPr id="4" name="Fluxograma: Conector 3">
          <a:extLst xmlns:a="http://schemas.openxmlformats.org/drawingml/2006/main">
            <a:ext uri="{FF2B5EF4-FFF2-40B4-BE49-F238E27FC236}">
              <a16:creationId xmlns:a16="http://schemas.microsoft.com/office/drawing/2014/main" id="{1B57B975-DE99-964A-911A-8ABA2CE6873B}"/>
            </a:ext>
          </a:extLst>
        </cdr:cNvPr>
        <cdr:cNvSpPr/>
      </cdr:nvSpPr>
      <cdr:spPr>
        <a:xfrm xmlns:a="http://schemas.openxmlformats.org/drawingml/2006/main">
          <a:off x="1076380" y="2719803"/>
          <a:ext cx="85183" cy="100671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0.83082</cdr:x>
      <cdr:y>0.66703</cdr:y>
    </cdr:from>
    <cdr:to>
      <cdr:x>0.84394</cdr:x>
      <cdr:y>0.69188</cdr:y>
    </cdr:to>
    <cdr:sp macro="" textlink="">
      <cdr:nvSpPr>
        <cdr:cNvPr id="5" name="Fluxograma: Conector 4">
          <a:extLst xmlns:a="http://schemas.openxmlformats.org/drawingml/2006/main">
            <a:ext uri="{FF2B5EF4-FFF2-40B4-BE49-F238E27FC236}">
              <a16:creationId xmlns:a16="http://schemas.microsoft.com/office/drawing/2014/main" id="{7729EA47-E40D-4F94-0719-D87DCCF60CD3}"/>
            </a:ext>
          </a:extLst>
        </cdr:cNvPr>
        <cdr:cNvSpPr/>
      </cdr:nvSpPr>
      <cdr:spPr>
        <a:xfrm xmlns:a="http://schemas.openxmlformats.org/drawingml/2006/main">
          <a:off x="5407891" y="2660073"/>
          <a:ext cx="85399" cy="99101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292930</xdr:colOff>
      <xdr:row>4</xdr:row>
      <xdr:rowOff>1</xdr:rowOff>
    </xdr:from>
    <xdr:to>
      <xdr:col>16</xdr:col>
      <xdr:colOff>53813</xdr:colOff>
      <xdr:row>25</xdr:row>
      <xdr:rowOff>145661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44961A-EDE4-9219-2630-B49A59242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158762</xdr:colOff>
      <xdr:row>18</xdr:row>
      <xdr:rowOff>92478</xdr:rowOff>
    </xdr:from>
    <xdr:to>
      <xdr:col>14</xdr:col>
      <xdr:colOff>267176</xdr:colOff>
      <xdr:row>19</xdr:row>
      <xdr:rowOff>4405</xdr:rowOff>
    </xdr:to>
    <xdr:sp macro="" textlink="">
      <xdr:nvSpPr>
        <xdr:cNvPr id="6" name="Fluxograma: Conector 5">
          <a:extLst>
            <a:ext uri="{FF2B5EF4-FFF2-40B4-BE49-F238E27FC236}">
              <a16:creationId xmlns:a16="http://schemas.microsoft.com/office/drawing/2014/main" id="{8D8517ED-4BE8-2FA4-ECE1-F1C11DF546B7}"/>
            </a:ext>
          </a:extLst>
        </xdr:cNvPr>
        <xdr:cNvSpPr/>
      </xdr:nvSpPr>
      <xdr:spPr>
        <a:xfrm>
          <a:off x="8908847" y="3439681"/>
          <a:ext cx="108414" cy="94893"/>
        </a:xfrm>
        <a:prstGeom prst="flowChartConnector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1001">
          <a:schemeClr val="dk1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0.16252</cdr:x>
      <cdr:y>0.67186</cdr:y>
    </cdr:from>
    <cdr:to>
      <cdr:x>0.17922</cdr:x>
      <cdr:y>0.69671</cdr:y>
    </cdr:to>
    <cdr:sp macro="" textlink="">
      <cdr:nvSpPr>
        <cdr:cNvPr id="2" name="Fluxograma: Conector 1">
          <a:extLst xmlns:a="http://schemas.openxmlformats.org/drawingml/2006/main">
            <a:ext uri="{FF2B5EF4-FFF2-40B4-BE49-F238E27FC236}">
              <a16:creationId xmlns:a16="http://schemas.microsoft.com/office/drawing/2014/main" id="{8D8517ED-4BE8-2FA4-ECE1-F1C11DF546B7}"/>
            </a:ext>
          </a:extLst>
        </cdr:cNvPr>
        <cdr:cNvSpPr/>
      </cdr:nvSpPr>
      <cdr:spPr>
        <a:xfrm xmlns:a="http://schemas.openxmlformats.org/drawingml/2006/main">
          <a:off x="1045502" y="2636594"/>
          <a:ext cx="107459" cy="97512"/>
        </a:xfrm>
        <a:prstGeom xmlns:a="http://schemas.openxmlformats.org/drawingml/2006/main" prst="flowChartConnector">
          <a:avLst/>
        </a:prstGeom>
        <a:ln xmlns:a="http://schemas.openxmlformats.org/drawingml/2006/main"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1001">
          <a:schemeClr val="dk1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0.63374</cdr:x>
      <cdr:y>0.66975</cdr:y>
    </cdr:from>
    <cdr:to>
      <cdr:x>0.64686</cdr:x>
      <cdr:y>0.6946</cdr:y>
    </cdr:to>
    <cdr:sp macro="" textlink="">
      <cdr:nvSpPr>
        <cdr:cNvPr id="3" name="Fluxograma: Conector 2">
          <a:extLst xmlns:a="http://schemas.openxmlformats.org/drawingml/2006/main">
            <a:ext uri="{FF2B5EF4-FFF2-40B4-BE49-F238E27FC236}">
              <a16:creationId xmlns:a16="http://schemas.microsoft.com/office/drawing/2014/main" id="{9CFC02D5-0030-C3A6-4695-38C861918478}"/>
            </a:ext>
          </a:extLst>
        </cdr:cNvPr>
        <cdr:cNvSpPr/>
      </cdr:nvSpPr>
      <cdr:spPr>
        <a:xfrm xmlns:a="http://schemas.openxmlformats.org/drawingml/2006/main">
          <a:off x="4125052" y="2670921"/>
          <a:ext cx="85429" cy="99092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0.16584</cdr:x>
      <cdr:y>0.67131</cdr:y>
    </cdr:from>
    <cdr:to>
      <cdr:x>0.17897</cdr:x>
      <cdr:y>0.69616</cdr:y>
    </cdr:to>
    <cdr:sp macro="" textlink="">
      <cdr:nvSpPr>
        <cdr:cNvPr id="4" name="Fluxograma: Conector 3">
          <a:extLst xmlns:a="http://schemas.openxmlformats.org/drawingml/2006/main">
            <a:ext uri="{FF2B5EF4-FFF2-40B4-BE49-F238E27FC236}">
              <a16:creationId xmlns:a16="http://schemas.microsoft.com/office/drawing/2014/main" id="{1B57B975-DE99-964A-911A-8ABA2CE6873B}"/>
            </a:ext>
          </a:extLst>
        </cdr:cNvPr>
        <cdr:cNvSpPr/>
      </cdr:nvSpPr>
      <cdr:spPr>
        <a:xfrm xmlns:a="http://schemas.openxmlformats.org/drawingml/2006/main">
          <a:off x="1076380" y="2719803"/>
          <a:ext cx="85183" cy="100671"/>
        </a:xfrm>
        <a:prstGeom xmlns:a="http://schemas.openxmlformats.org/drawingml/2006/main" prst="flowChartConnector">
          <a:avLst/>
        </a:prstGeom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abSelected="1" topLeftCell="A21" zoomScale="63" workbookViewId="0">
      <selection activeCell="B24" sqref="B24"/>
    </sheetView>
  </sheetViews>
  <sheetFormatPr defaultRowHeight="14.5" x14ac:dyDescent="0.35"/>
  <cols>
    <col min="2" max="2" width="20" customWidth="1"/>
    <col min="3" max="3" width="22" customWidth="1"/>
    <col min="4" max="4" width="70" customWidth="1"/>
  </cols>
  <sheetData>
    <row r="2" spans="2:4" ht="18.5" x14ac:dyDescent="0.45">
      <c r="B2" s="1" t="s">
        <v>0</v>
      </c>
    </row>
    <row r="4" spans="2:4" x14ac:dyDescent="0.35">
      <c r="B4" s="2" t="s">
        <v>1</v>
      </c>
      <c r="C4" t="s">
        <v>2</v>
      </c>
    </row>
    <row r="5" spans="2:4" x14ac:dyDescent="0.35">
      <c r="B5" s="2" t="s">
        <v>3</v>
      </c>
      <c r="C5" t="s">
        <v>4</v>
      </c>
    </row>
    <row r="6" spans="2:4" x14ac:dyDescent="0.35">
      <c r="B6" s="2" t="s">
        <v>5</v>
      </c>
      <c r="C6" t="s">
        <v>6</v>
      </c>
    </row>
    <row r="7" spans="2:4" x14ac:dyDescent="0.35">
      <c r="B7" t="s">
        <v>249</v>
      </c>
      <c r="C7" t="s">
        <v>250</v>
      </c>
    </row>
    <row r="8" spans="2:4" x14ac:dyDescent="0.35">
      <c r="B8" s="34" t="s">
        <v>251</v>
      </c>
      <c r="C8" t="s">
        <v>252</v>
      </c>
    </row>
    <row r="10" spans="2:4" ht="18.5" x14ac:dyDescent="0.45">
      <c r="B10" s="2" t="s">
        <v>7</v>
      </c>
      <c r="C10" s="33">
        <f>'1. Premissas'!B6</f>
        <v>0.25286887821448589</v>
      </c>
      <c r="D10" t="s">
        <v>244</v>
      </c>
    </row>
    <row r="11" spans="2:4" x14ac:dyDescent="0.35">
      <c r="C11" t="b">
        <f>'9. Checagens'!C10</f>
        <v>1</v>
      </c>
      <c r="D11" t="s">
        <v>245</v>
      </c>
    </row>
    <row r="12" spans="2:4" x14ac:dyDescent="0.35">
      <c r="B12" s="2" t="s">
        <v>8</v>
      </c>
    </row>
    <row r="13" spans="2:4" x14ac:dyDescent="0.35">
      <c r="C13" s="4" t="s">
        <v>9</v>
      </c>
      <c r="D13" t="s">
        <v>10</v>
      </c>
    </row>
    <row r="14" spans="2:4" x14ac:dyDescent="0.35">
      <c r="C14" s="5" t="s">
        <v>9</v>
      </c>
      <c r="D14" t="s">
        <v>11</v>
      </c>
    </row>
    <row r="15" spans="2:4" x14ac:dyDescent="0.35">
      <c r="C15" s="6" t="s">
        <v>9</v>
      </c>
      <c r="D15" t="s">
        <v>12</v>
      </c>
    </row>
    <row r="16" spans="2:4" ht="18.5" x14ac:dyDescent="0.45">
      <c r="C16" s="33" t="s">
        <v>9</v>
      </c>
      <c r="D16" t="s">
        <v>246</v>
      </c>
    </row>
    <row r="18" spans="2:4" x14ac:dyDescent="0.35">
      <c r="B18" s="2" t="s">
        <v>13</v>
      </c>
    </row>
    <row r="19" spans="2:4" x14ac:dyDescent="0.35">
      <c r="C19" s="2" t="s">
        <v>14</v>
      </c>
      <c r="D19" t="s">
        <v>248</v>
      </c>
    </row>
    <row r="20" spans="2:4" x14ac:dyDescent="0.35">
      <c r="C20" s="2" t="s">
        <v>15</v>
      </c>
      <c r="D20" t="s">
        <v>16</v>
      </c>
    </row>
    <row r="21" spans="2:4" x14ac:dyDescent="0.35">
      <c r="C21" s="2" t="s">
        <v>17</v>
      </c>
      <c r="D21" t="s">
        <v>18</v>
      </c>
    </row>
    <row r="22" spans="2:4" x14ac:dyDescent="0.35">
      <c r="C22" s="2" t="s">
        <v>19</v>
      </c>
      <c r="D22" t="s">
        <v>20</v>
      </c>
    </row>
    <row r="23" spans="2:4" x14ac:dyDescent="0.35">
      <c r="C23" s="2" t="s">
        <v>21</v>
      </c>
      <c r="D23" t="s">
        <v>22</v>
      </c>
    </row>
    <row r="24" spans="2:4" x14ac:dyDescent="0.35">
      <c r="C24" s="2" t="s">
        <v>23</v>
      </c>
      <c r="D24" t="s">
        <v>24</v>
      </c>
    </row>
    <row r="25" spans="2:4" x14ac:dyDescent="0.35">
      <c r="C25" s="2" t="s">
        <v>25</v>
      </c>
      <c r="D25" t="s">
        <v>26</v>
      </c>
    </row>
    <row r="26" spans="2:4" x14ac:dyDescent="0.35">
      <c r="C26" s="2" t="s">
        <v>27</v>
      </c>
      <c r="D26" t="s">
        <v>28</v>
      </c>
    </row>
    <row r="27" spans="2:4" x14ac:dyDescent="0.35">
      <c r="C27" s="2" t="s">
        <v>29</v>
      </c>
      <c r="D27" t="s">
        <v>247</v>
      </c>
    </row>
    <row r="28" spans="2:4" x14ac:dyDescent="0.35">
      <c r="C28" s="2" t="s">
        <v>30</v>
      </c>
      <c r="D28" t="s">
        <v>31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opLeftCell="A13" zoomScale="69" workbookViewId="0">
      <selection activeCell="B31" sqref="B31:E39"/>
    </sheetView>
  </sheetViews>
  <sheetFormatPr defaultRowHeight="14.5" x14ac:dyDescent="0.35"/>
  <cols>
    <col min="1" max="1" width="52" customWidth="1"/>
    <col min="2" max="2" width="12" customWidth="1"/>
    <col min="3" max="3" width="14" customWidth="1"/>
    <col min="4" max="4" width="7.453125" customWidth="1"/>
  </cols>
  <sheetData>
    <row r="1" spans="1:4" ht="18.5" x14ac:dyDescent="0.45">
      <c r="A1" s="1" t="s">
        <v>14</v>
      </c>
    </row>
    <row r="2" spans="1:4" x14ac:dyDescent="0.35">
      <c r="A2" s="3" t="s">
        <v>32</v>
      </c>
    </row>
    <row r="4" spans="1:4" x14ac:dyDescent="0.35">
      <c r="A4" s="7" t="s">
        <v>33</v>
      </c>
      <c r="B4" s="7" t="s">
        <v>34</v>
      </c>
      <c r="C4" s="7" t="s">
        <v>35</v>
      </c>
      <c r="D4" s="7" t="s">
        <v>36</v>
      </c>
    </row>
    <row r="5" spans="1:4" x14ac:dyDescent="0.35">
      <c r="A5" s="8" t="s">
        <v>37</v>
      </c>
      <c r="B5" s="9"/>
      <c r="C5" s="9"/>
      <c r="D5" s="9"/>
    </row>
    <row r="6" spans="1:4" x14ac:dyDescent="0.35">
      <c r="A6" t="s">
        <v>38</v>
      </c>
      <c r="B6" s="10">
        <v>0.25286887821448589</v>
      </c>
      <c r="C6" t="s">
        <v>39</v>
      </c>
      <c r="D6" s="3" t="s">
        <v>40</v>
      </c>
    </row>
    <row r="7" spans="1:4" x14ac:dyDescent="0.35">
      <c r="A7" t="s">
        <v>41</v>
      </c>
      <c r="B7" s="4">
        <v>30</v>
      </c>
      <c r="C7" t="s">
        <v>42</v>
      </c>
      <c r="D7" s="3" t="s">
        <v>43</v>
      </c>
    </row>
    <row r="8" spans="1:4" x14ac:dyDescent="0.35">
      <c r="A8" t="s">
        <v>44</v>
      </c>
      <c r="B8" s="11">
        <v>8.3963499999999996E-2</v>
      </c>
      <c r="C8" t="s">
        <v>45</v>
      </c>
      <c r="D8" s="3" t="s">
        <v>43</v>
      </c>
    </row>
    <row r="9" spans="1:4" x14ac:dyDescent="0.35">
      <c r="A9" t="s">
        <v>46</v>
      </c>
      <c r="B9" s="11">
        <v>0.11335099999999999</v>
      </c>
      <c r="C9" t="s">
        <v>45</v>
      </c>
      <c r="D9" s="3" t="s">
        <v>43</v>
      </c>
    </row>
    <row r="10" spans="1:4" x14ac:dyDescent="0.35">
      <c r="A10" t="s">
        <v>47</v>
      </c>
      <c r="B10" s="10">
        <v>0.1249</v>
      </c>
      <c r="C10" t="s">
        <v>39</v>
      </c>
      <c r="D10" s="3" t="s">
        <v>48</v>
      </c>
    </row>
    <row r="11" spans="1:4" x14ac:dyDescent="0.35">
      <c r="A11" s="8" t="s">
        <v>49</v>
      </c>
      <c r="B11" s="9"/>
      <c r="C11" s="9"/>
      <c r="D11" s="9"/>
    </row>
    <row r="12" spans="1:4" x14ac:dyDescent="0.35">
      <c r="A12" t="s">
        <v>50</v>
      </c>
      <c r="B12" s="10">
        <v>8.7499999999999994E-2</v>
      </c>
      <c r="C12" t="s">
        <v>39</v>
      </c>
      <c r="D12" s="3" t="s">
        <v>51</v>
      </c>
    </row>
    <row r="13" spans="1:4" x14ac:dyDescent="0.35">
      <c r="A13" t="s">
        <v>52</v>
      </c>
      <c r="B13" s="10">
        <v>0.34</v>
      </c>
      <c r="C13" t="s">
        <v>39</v>
      </c>
      <c r="D13" s="3" t="s">
        <v>53</v>
      </c>
    </row>
    <row r="14" spans="1:4" x14ac:dyDescent="0.35">
      <c r="A14" t="s">
        <v>54</v>
      </c>
      <c r="B14" s="10">
        <v>0.02</v>
      </c>
      <c r="C14" t="s">
        <v>39</v>
      </c>
      <c r="D14" s="3" t="s">
        <v>55</v>
      </c>
    </row>
    <row r="15" spans="1:4" x14ac:dyDescent="0.35">
      <c r="A15" s="8" t="s">
        <v>56</v>
      </c>
      <c r="B15" s="9"/>
      <c r="C15" s="9"/>
      <c r="D15" s="9"/>
    </row>
    <row r="16" spans="1:4" x14ac:dyDescent="0.35">
      <c r="A16" t="s">
        <v>57</v>
      </c>
      <c r="B16" s="10">
        <v>7.8E-2</v>
      </c>
      <c r="C16" t="s">
        <v>58</v>
      </c>
      <c r="D16" s="12" t="s">
        <v>59</v>
      </c>
    </row>
    <row r="17" spans="1:5" x14ac:dyDescent="0.35">
      <c r="A17" t="s">
        <v>60</v>
      </c>
      <c r="B17" s="13">
        <v>1.3</v>
      </c>
      <c r="C17" t="s">
        <v>61</v>
      </c>
      <c r="D17" s="12" t="s">
        <v>62</v>
      </c>
    </row>
    <row r="18" spans="1:5" x14ac:dyDescent="0.35">
      <c r="A18" t="s">
        <v>63</v>
      </c>
      <c r="B18" s="4">
        <v>9</v>
      </c>
      <c r="C18" t="s">
        <v>64</v>
      </c>
      <c r="D18" s="3" t="s">
        <v>229</v>
      </c>
    </row>
    <row r="19" spans="1:5" x14ac:dyDescent="0.35">
      <c r="A19" t="s">
        <v>65</v>
      </c>
      <c r="B19" s="4">
        <v>24</v>
      </c>
      <c r="C19" t="s">
        <v>64</v>
      </c>
      <c r="D19" s="3" t="s">
        <v>66</v>
      </c>
    </row>
    <row r="20" spans="1:5" x14ac:dyDescent="0.35">
      <c r="A20" t="s">
        <v>218</v>
      </c>
      <c r="B20" s="23">
        <v>0.7</v>
      </c>
      <c r="C20" t="s">
        <v>224</v>
      </c>
      <c r="D20" s="3" t="s">
        <v>230</v>
      </c>
    </row>
    <row r="21" spans="1:5" x14ac:dyDescent="0.35">
      <c r="A21" s="8" t="s">
        <v>67</v>
      </c>
      <c r="B21" s="9"/>
      <c r="C21" s="9"/>
      <c r="D21" s="9"/>
    </row>
    <row r="22" spans="1:5" x14ac:dyDescent="0.35">
      <c r="A22" t="s">
        <v>68</v>
      </c>
      <c r="B22" s="10">
        <v>0.12</v>
      </c>
      <c r="C22" t="s">
        <v>58</v>
      </c>
      <c r="D22" s="12" t="s">
        <v>69</v>
      </c>
    </row>
    <row r="23" spans="1:5" x14ac:dyDescent="0.35">
      <c r="A23" s="8" t="s">
        <v>70</v>
      </c>
      <c r="B23" s="9"/>
      <c r="C23" s="9"/>
      <c r="D23" s="9"/>
    </row>
    <row r="24" spans="1:5" x14ac:dyDescent="0.35">
      <c r="A24" t="s">
        <v>71</v>
      </c>
      <c r="B24" s="4">
        <v>1</v>
      </c>
      <c r="D24" s="3" t="s">
        <v>72</v>
      </c>
    </row>
    <row r="26" spans="1:5" x14ac:dyDescent="0.35">
      <c r="A26" t="s">
        <v>228</v>
      </c>
      <c r="B26" s="22">
        <f>'7. Retornos'!C16</f>
        <v>0.12005201425701584</v>
      </c>
    </row>
    <row r="29" spans="1:5" x14ac:dyDescent="0.35">
      <c r="A29" t="s">
        <v>231</v>
      </c>
    </row>
    <row r="30" spans="1:5" x14ac:dyDescent="0.35">
      <c r="B30" s="26">
        <f>B26</f>
        <v>0.12005201425701584</v>
      </c>
      <c r="C30">
        <v>1</v>
      </c>
      <c r="D30">
        <v>2</v>
      </c>
      <c r="E30">
        <v>3</v>
      </c>
    </row>
    <row r="31" spans="1:5" x14ac:dyDescent="0.35">
      <c r="B31" s="21">
        <v>0</v>
      </c>
      <c r="C31" s="25">
        <f t="dataTable" ref="C31:E39" dt2D="1" dtr="1" r1="B24" r2="B6"/>
        <v>0.43769204893604141</v>
      </c>
      <c r="D31" s="25">
        <v>0.12904883012809831</v>
      </c>
      <c r="E31" s="25">
        <v>0.65141421846724423</v>
      </c>
    </row>
    <row r="32" spans="1:5" x14ac:dyDescent="0.35">
      <c r="B32" s="21">
        <v>0.05</v>
      </c>
      <c r="C32" s="25">
        <v>0.35644292052342363</v>
      </c>
      <c r="D32" s="25">
        <v>0.1037018157817049</v>
      </c>
      <c r="E32" s="25">
        <v>0.54652691327404579</v>
      </c>
    </row>
    <row r="33" spans="2:5" x14ac:dyDescent="0.35">
      <c r="B33" s="21">
        <v>0.1</v>
      </c>
      <c r="C33" s="25">
        <v>0.28583101947615686</v>
      </c>
      <c r="D33" s="25">
        <v>8.3937600986382366E-2</v>
      </c>
      <c r="E33" s="25">
        <v>0.4422650376052637</v>
      </c>
    </row>
    <row r="34" spans="2:5" x14ac:dyDescent="0.35">
      <c r="B34" s="21">
        <v>0.15</v>
      </c>
      <c r="C34" s="25">
        <v>0.23389195827876619</v>
      </c>
      <c r="D34" s="25">
        <v>6.7587585069809997E-2</v>
      </c>
      <c r="E34" s="25">
        <v>0.35624119239946861</v>
      </c>
    </row>
    <row r="35" spans="2:5" x14ac:dyDescent="0.35">
      <c r="B35" s="21">
        <v>0.2</v>
      </c>
      <c r="C35" s="25">
        <v>0.17124676192049493</v>
      </c>
      <c r="D35" s="25">
        <v>5.3250049779325348E-2</v>
      </c>
      <c r="E35" s="25">
        <v>0.28133646427555803</v>
      </c>
    </row>
    <row r="36" spans="2:5" x14ac:dyDescent="0.35">
      <c r="B36" s="21">
        <v>0.25</v>
      </c>
      <c r="C36" s="25">
        <v>0.12221583977416706</v>
      </c>
      <c r="D36" s="25">
        <v>4.0382610060192725E-2</v>
      </c>
      <c r="E36" s="25">
        <v>0.22538257302853237</v>
      </c>
    </row>
    <row r="37" spans="2:5" x14ac:dyDescent="0.35">
      <c r="B37" s="21">
        <v>0.3</v>
      </c>
      <c r="C37" s="25">
        <v>9.058216726454793E-2</v>
      </c>
      <c r="D37" s="25">
        <v>2.8622029913001557E-2</v>
      </c>
      <c r="E37" s="25">
        <v>0.18128438857437201</v>
      </c>
    </row>
    <row r="38" spans="2:5" x14ac:dyDescent="0.35">
      <c r="B38" s="21">
        <v>0.35</v>
      </c>
      <c r="C38" s="25">
        <v>6.726951599893316E-2</v>
      </c>
      <c r="D38" s="25">
        <v>1.7373489125428021E-2</v>
      </c>
      <c r="E38" s="25">
        <v>0.12086581354363202</v>
      </c>
    </row>
    <row r="39" spans="2:5" x14ac:dyDescent="0.35">
      <c r="B39" s="21">
        <v>0.4</v>
      </c>
      <c r="C39" s="25">
        <v>4.8017358882562089E-2</v>
      </c>
      <c r="D39" s="25">
        <v>6.3323550590068667E-3</v>
      </c>
      <c r="E39" s="25">
        <v>8.4026680649877061E-2</v>
      </c>
    </row>
  </sheetData>
  <conditionalFormatting sqref="C31:E37">
    <cfRule type="cellIs" dxfId="5" priority="3" operator="greaterThanOrEqual">
      <formula>$B$22</formula>
    </cfRule>
    <cfRule type="cellIs" priority="4" operator="greaterThanOrEqual">
      <formula>$B$22</formula>
    </cfRule>
  </conditionalFormatting>
  <conditionalFormatting sqref="C38:E39">
    <cfRule type="cellIs" dxfId="4" priority="1" operator="greaterThanOrEqual">
      <formula>$B$22</formula>
    </cfRule>
    <cfRule type="cellIs" priority="2" operator="greaterThanOrEqual">
      <formula>$B$22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E11" sqref="E11"/>
    </sheetView>
  </sheetViews>
  <sheetFormatPr defaultRowHeight="14.5" x14ac:dyDescent="0.35"/>
  <cols>
    <col min="1" max="1" width="44" customWidth="1"/>
    <col min="2" max="5" width="12" customWidth="1"/>
    <col min="6" max="6" width="70" customWidth="1"/>
  </cols>
  <sheetData>
    <row r="1" spans="1:6" ht="18.5" x14ac:dyDescent="0.45">
      <c r="A1" s="1" t="s">
        <v>15</v>
      </c>
    </row>
    <row r="2" spans="1:6" x14ac:dyDescent="0.35">
      <c r="A2" s="3" t="s">
        <v>73</v>
      </c>
    </row>
    <row r="4" spans="1:6" x14ac:dyDescent="0.35">
      <c r="A4" s="7" t="s">
        <v>74</v>
      </c>
      <c r="B4" s="7" t="s">
        <v>5</v>
      </c>
      <c r="C4" s="7" t="s">
        <v>75</v>
      </c>
      <c r="D4" s="7" t="s">
        <v>76</v>
      </c>
      <c r="E4" s="7" t="s">
        <v>77</v>
      </c>
      <c r="F4" s="7" t="s">
        <v>78</v>
      </c>
    </row>
    <row r="5" spans="1:6" x14ac:dyDescent="0.35">
      <c r="A5" t="s">
        <v>79</v>
      </c>
      <c r="B5" s="14">
        <v>1</v>
      </c>
      <c r="C5" s="14">
        <v>0.9</v>
      </c>
      <c r="D5" s="14">
        <v>1.05</v>
      </c>
      <c r="E5">
        <f>CHOOSE('1. Premissas'!$B$24,B5,C5,D5)</f>
        <v>1</v>
      </c>
      <c r="F5" s="3" t="s">
        <v>80</v>
      </c>
    </row>
    <row r="6" spans="1:6" x14ac:dyDescent="0.35">
      <c r="A6" t="s">
        <v>81</v>
      </c>
      <c r="B6" s="14">
        <v>1</v>
      </c>
      <c r="C6" s="14">
        <v>1.1499999999999999</v>
      </c>
      <c r="D6" s="14">
        <v>0.95</v>
      </c>
      <c r="E6">
        <f>CHOOSE('1. Premissas'!$B$24,B6,C6,D6)</f>
        <v>1</v>
      </c>
      <c r="F6" s="3" t="s">
        <v>82</v>
      </c>
    </row>
    <row r="7" spans="1:6" x14ac:dyDescent="0.35">
      <c r="A7" t="s">
        <v>83</v>
      </c>
      <c r="B7" s="14">
        <v>1</v>
      </c>
      <c r="C7" s="14">
        <v>1.1000000000000001</v>
      </c>
      <c r="D7" s="14">
        <v>0.95</v>
      </c>
      <c r="E7">
        <f>CHOOSE('1. Premissas'!$B$24,B7,C7,D7)</f>
        <v>1</v>
      </c>
      <c r="F7" s="3"/>
    </row>
    <row r="8" spans="1:6" x14ac:dyDescent="0.35">
      <c r="A8" t="s">
        <v>84</v>
      </c>
      <c r="B8" s="10">
        <v>0</v>
      </c>
      <c r="C8" s="10">
        <v>0.01</v>
      </c>
      <c r="D8" s="10">
        <v>-0.01</v>
      </c>
      <c r="E8">
        <f>CHOOSE('1. Premissas'!$B$24,B8,C8,D8)</f>
        <v>0</v>
      </c>
      <c r="F8" s="3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6"/>
  <sheetViews>
    <sheetView workbookViewId="0">
      <pane xSplit="3" ySplit="4" topLeftCell="D3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  <col min="35" max="35" width="16" customWidth="1"/>
  </cols>
  <sheetData>
    <row r="1" spans="1:35" ht="18.5" x14ac:dyDescent="0.45">
      <c r="A1" s="1" t="s">
        <v>86</v>
      </c>
    </row>
    <row r="2" spans="1:35" x14ac:dyDescent="0.35">
      <c r="A2" s="3" t="s">
        <v>87</v>
      </c>
    </row>
    <row r="3" spans="1:35" x14ac:dyDescent="0.35">
      <c r="A3" s="3" t="s">
        <v>88</v>
      </c>
    </row>
    <row r="4" spans="1:35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  <c r="AI4" s="2" t="s">
        <v>91</v>
      </c>
    </row>
    <row r="5" spans="1:35" x14ac:dyDescent="0.35">
      <c r="A5" s="8" t="s">
        <v>92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5" x14ac:dyDescent="0.35">
      <c r="A6" t="s">
        <v>93</v>
      </c>
      <c r="B6" t="s">
        <v>94</v>
      </c>
      <c r="C6" s="17">
        <f>SUM(D6:AG6)</f>
        <v>7659.8289999999988</v>
      </c>
      <c r="D6" s="18">
        <v>111.19199999999999</v>
      </c>
      <c r="E6" s="18">
        <v>192.654</v>
      </c>
      <c r="F6" s="18">
        <v>194.02</v>
      </c>
      <c r="G6" s="18">
        <v>194.82599999999999</v>
      </c>
      <c r="H6" s="18">
        <v>198.41200000000001</v>
      </c>
      <c r="I6" s="18">
        <v>202.27600000000001</v>
      </c>
      <c r="J6" s="18">
        <v>206.255</v>
      </c>
      <c r="K6" s="18">
        <v>210.46</v>
      </c>
      <c r="L6" s="18">
        <v>213.73400000000001</v>
      </c>
      <c r="M6" s="18">
        <v>219.22399999999999</v>
      </c>
      <c r="N6" s="18">
        <v>224.89</v>
      </c>
      <c r="O6" s="18">
        <v>230.71700000000001</v>
      </c>
      <c r="P6" s="18">
        <v>236.68799999999999</v>
      </c>
      <c r="Q6" s="18">
        <v>242.78700000000001</v>
      </c>
      <c r="R6" s="18">
        <v>249</v>
      </c>
      <c r="S6" s="18">
        <v>255.31399999999999</v>
      </c>
      <c r="T6" s="18">
        <v>261.72000000000003</v>
      </c>
      <c r="U6" s="18">
        <v>268.20999999999998</v>
      </c>
      <c r="V6" s="18">
        <v>274.77600000000001</v>
      </c>
      <c r="W6" s="18">
        <v>281.411</v>
      </c>
      <c r="X6" s="18">
        <v>288.11</v>
      </c>
      <c r="Y6" s="18">
        <v>294.86700000000002</v>
      </c>
      <c r="Z6" s="18">
        <v>301.68099999999998</v>
      </c>
      <c r="AA6" s="18">
        <v>308.548</v>
      </c>
      <c r="AB6" s="18">
        <v>315.46600000000001</v>
      </c>
      <c r="AC6" s="18">
        <v>322.43200000000002</v>
      </c>
      <c r="AD6" s="18">
        <v>329.44</v>
      </c>
      <c r="AE6" s="18">
        <v>336.48500000000001</v>
      </c>
      <c r="AF6" s="18">
        <v>343.56299999999999</v>
      </c>
      <c r="AG6" s="18">
        <v>350.67099999999999</v>
      </c>
      <c r="AI6" s="3" t="s">
        <v>95</v>
      </c>
    </row>
    <row r="7" spans="1:35" x14ac:dyDescent="0.35">
      <c r="A7" t="s">
        <v>96</v>
      </c>
      <c r="B7" t="s">
        <v>45</v>
      </c>
      <c r="D7" s="19">
        <v>8.3963499999999996E-2</v>
      </c>
      <c r="E7" s="19">
        <v>9.4878699999999996E-2</v>
      </c>
      <c r="F7" s="19">
        <v>0.107213</v>
      </c>
      <c r="G7" s="19">
        <v>0.122485</v>
      </c>
      <c r="H7" s="19">
        <v>0.122485</v>
      </c>
      <c r="I7" s="19">
        <v>0.122485</v>
      </c>
      <c r="J7" s="19">
        <v>0.122485</v>
      </c>
      <c r="K7" s="19">
        <v>0.122485</v>
      </c>
      <c r="L7" s="19">
        <v>0.122485</v>
      </c>
      <c r="M7" s="19">
        <v>0.122485</v>
      </c>
      <c r="N7" s="19">
        <v>0.122485</v>
      </c>
      <c r="O7" s="19">
        <v>0.122485</v>
      </c>
      <c r="P7" s="19">
        <v>0.122485</v>
      </c>
      <c r="Q7" s="19">
        <v>0.122485</v>
      </c>
      <c r="R7" s="19">
        <v>0.122485</v>
      </c>
      <c r="S7" s="19">
        <v>0.122485</v>
      </c>
      <c r="T7" s="19">
        <v>0.122485</v>
      </c>
      <c r="U7" s="19">
        <v>0.122485</v>
      </c>
      <c r="V7" s="19">
        <v>0.122485</v>
      </c>
      <c r="W7" s="19">
        <v>0.122485</v>
      </c>
      <c r="X7" s="19">
        <v>0.122485</v>
      </c>
      <c r="Y7" s="19">
        <v>0.122485</v>
      </c>
      <c r="Z7" s="19">
        <v>0.122485</v>
      </c>
      <c r="AA7" s="19">
        <v>0.122485</v>
      </c>
      <c r="AB7" s="19">
        <v>0.122485</v>
      </c>
      <c r="AC7" s="19">
        <v>0.122485</v>
      </c>
      <c r="AD7" s="19">
        <v>0.122485</v>
      </c>
      <c r="AE7" s="19">
        <v>0.122485</v>
      </c>
      <c r="AF7" s="19">
        <v>0.122485</v>
      </c>
      <c r="AG7" s="19">
        <v>0.122485</v>
      </c>
      <c r="AI7" s="3" t="s">
        <v>97</v>
      </c>
    </row>
    <row r="8" spans="1:35" x14ac:dyDescent="0.35">
      <c r="A8" t="s">
        <v>98</v>
      </c>
      <c r="B8" t="s">
        <v>99</v>
      </c>
      <c r="D8" s="18">
        <v>459.34399999999999</v>
      </c>
      <c r="E8" s="18">
        <v>459.34399999999999</v>
      </c>
      <c r="F8" s="18">
        <v>459.34399999999999</v>
      </c>
      <c r="G8" s="18">
        <v>395.48399999999998</v>
      </c>
      <c r="H8" s="18">
        <v>349.98399999999998</v>
      </c>
      <c r="I8" s="18">
        <v>273.21100000000001</v>
      </c>
      <c r="J8" s="18">
        <v>253.73099999999999</v>
      </c>
      <c r="K8" s="18">
        <v>193.251</v>
      </c>
      <c r="L8" s="18">
        <v>152.761</v>
      </c>
      <c r="M8" s="18">
        <v>152.761</v>
      </c>
      <c r="N8" s="18">
        <v>152.761</v>
      </c>
      <c r="O8" s="18">
        <v>152.761</v>
      </c>
      <c r="P8" s="18">
        <v>152.761</v>
      </c>
      <c r="Q8" s="18">
        <v>152.761</v>
      </c>
      <c r="R8" s="18">
        <v>152.761</v>
      </c>
      <c r="S8" s="18">
        <v>152.761</v>
      </c>
      <c r="T8" s="18">
        <v>152.761</v>
      </c>
      <c r="U8" s="18">
        <v>152.761</v>
      </c>
      <c r="V8" s="18">
        <v>152.761</v>
      </c>
      <c r="W8" s="18">
        <v>152.761</v>
      </c>
      <c r="X8" s="18">
        <v>152.761</v>
      </c>
      <c r="Y8" s="18">
        <v>152.761</v>
      </c>
      <c r="Z8" s="18">
        <v>152.761</v>
      </c>
      <c r="AA8" s="18">
        <v>152.761</v>
      </c>
      <c r="AB8" s="18">
        <v>152.761</v>
      </c>
      <c r="AC8" s="18">
        <v>152.761</v>
      </c>
      <c r="AD8" s="18">
        <v>152.761</v>
      </c>
      <c r="AE8" s="18">
        <v>152.761</v>
      </c>
      <c r="AF8" s="18">
        <v>152.761</v>
      </c>
      <c r="AG8" s="18">
        <v>152.761</v>
      </c>
      <c r="AI8" s="3" t="s">
        <v>100</v>
      </c>
    </row>
    <row r="9" spans="1:35" x14ac:dyDescent="0.35">
      <c r="A9" t="s">
        <v>101</v>
      </c>
      <c r="B9" t="s">
        <v>99</v>
      </c>
      <c r="D9" s="18">
        <v>182.43</v>
      </c>
      <c r="E9" s="18">
        <v>182.43</v>
      </c>
      <c r="F9" s="18">
        <v>182.43</v>
      </c>
      <c r="G9" s="18">
        <v>246.29</v>
      </c>
      <c r="H9" s="18">
        <v>291.79000000000002</v>
      </c>
      <c r="I9" s="18">
        <v>368.56299999999999</v>
      </c>
      <c r="J9" s="18">
        <v>388.04300000000001</v>
      </c>
      <c r="K9" s="18">
        <v>448.52300000000002</v>
      </c>
      <c r="L9" s="18">
        <v>489.01299999999998</v>
      </c>
      <c r="M9" s="18">
        <v>489.01299999999998</v>
      </c>
      <c r="N9" s="18">
        <v>489.01299999999998</v>
      </c>
      <c r="O9" s="18">
        <v>489.01299999999998</v>
      </c>
      <c r="P9" s="18">
        <v>489.01299999999998</v>
      </c>
      <c r="Q9" s="18">
        <v>489.01299999999998</v>
      </c>
      <c r="R9" s="18">
        <v>489.01299999999998</v>
      </c>
      <c r="S9" s="18">
        <v>489.01299999999998</v>
      </c>
      <c r="T9" s="18">
        <v>489.01299999999998</v>
      </c>
      <c r="U9" s="18">
        <v>489.01299999999998</v>
      </c>
      <c r="V9" s="18">
        <v>489.01299999999998</v>
      </c>
      <c r="W9" s="18">
        <v>489.01299999999998</v>
      </c>
      <c r="X9" s="18">
        <v>489.01299999999998</v>
      </c>
      <c r="Y9" s="18">
        <v>489.01299999999998</v>
      </c>
      <c r="Z9" s="18">
        <v>489.01299999999998</v>
      </c>
      <c r="AA9" s="18">
        <v>489.01299999999998</v>
      </c>
      <c r="AB9" s="18">
        <v>489.01299999999998</v>
      </c>
      <c r="AC9" s="18">
        <v>489.01299999999998</v>
      </c>
      <c r="AD9" s="18">
        <v>489.01299999999998</v>
      </c>
      <c r="AE9" s="18">
        <v>489.01299999999998</v>
      </c>
      <c r="AF9" s="18">
        <v>489.01299999999998</v>
      </c>
      <c r="AG9" s="18">
        <v>489.01299999999998</v>
      </c>
      <c r="AI9" s="3" t="s">
        <v>102</v>
      </c>
    </row>
    <row r="10" spans="1:35" x14ac:dyDescent="0.35">
      <c r="A10" t="s">
        <v>103</v>
      </c>
      <c r="B10" t="s">
        <v>39</v>
      </c>
      <c r="D10" s="20">
        <v>0.12</v>
      </c>
      <c r="E10" s="20">
        <v>0.11</v>
      </c>
      <c r="F10" s="20">
        <v>0.1</v>
      </c>
      <c r="G10" s="20">
        <v>0.09</v>
      </c>
      <c r="H10" s="20">
        <v>0.08</v>
      </c>
      <c r="I10" s="20">
        <v>7.0000000000000007E-2</v>
      </c>
      <c r="J10" s="20">
        <v>0.06</v>
      </c>
      <c r="K10" s="20">
        <v>0.05</v>
      </c>
      <c r="L10" s="20">
        <v>0.04</v>
      </c>
      <c r="M10" s="20">
        <v>0.03</v>
      </c>
      <c r="N10" s="20">
        <v>0.03</v>
      </c>
      <c r="O10" s="20">
        <v>0.03</v>
      </c>
      <c r="P10" s="20">
        <v>0.03</v>
      </c>
      <c r="Q10" s="20">
        <v>0.03</v>
      </c>
      <c r="R10" s="20">
        <v>0.03</v>
      </c>
      <c r="S10" s="20">
        <v>0.03</v>
      </c>
      <c r="T10" s="20">
        <v>0.03</v>
      </c>
      <c r="U10" s="20">
        <v>0.03</v>
      </c>
      <c r="V10" s="20">
        <v>0.03</v>
      </c>
      <c r="W10" s="20">
        <v>0.03</v>
      </c>
      <c r="X10" s="20">
        <v>0.03</v>
      </c>
      <c r="Y10" s="20">
        <v>0.03</v>
      </c>
      <c r="Z10" s="20">
        <v>0.03</v>
      </c>
      <c r="AA10" s="20">
        <v>0.02</v>
      </c>
      <c r="AB10" s="20">
        <v>0.02</v>
      </c>
      <c r="AC10" s="20">
        <v>0.02</v>
      </c>
      <c r="AD10" s="20">
        <v>0.02</v>
      </c>
      <c r="AE10" s="20">
        <v>0.02</v>
      </c>
      <c r="AF10" s="20">
        <v>0.02</v>
      </c>
      <c r="AG10" s="20">
        <v>0.02</v>
      </c>
      <c r="AI10" s="3" t="s">
        <v>104</v>
      </c>
    </row>
    <row r="12" spans="1:35" x14ac:dyDescent="0.35">
      <c r="A12" s="8" t="s">
        <v>105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5" x14ac:dyDescent="0.35">
      <c r="A13" t="s">
        <v>106</v>
      </c>
      <c r="B13" t="s">
        <v>107</v>
      </c>
      <c r="C13" s="17">
        <f t="shared" ref="C13:C18" si="0">SUM(D13:AG13)</f>
        <v>63807.802999999971</v>
      </c>
      <c r="D13" s="18">
        <v>442.89400000000001</v>
      </c>
      <c r="E13" s="18">
        <v>914.09900000000005</v>
      </c>
      <c r="F13" s="18">
        <v>1093.8599999999999</v>
      </c>
      <c r="G13" s="18">
        <v>1319.93</v>
      </c>
      <c r="H13" s="18">
        <v>1409.88</v>
      </c>
      <c r="I13" s="18">
        <v>1511.84</v>
      </c>
      <c r="J13" s="18">
        <v>1595.8</v>
      </c>
      <c r="K13" s="18">
        <v>1681.21</v>
      </c>
      <c r="L13" s="18">
        <v>1843.56</v>
      </c>
      <c r="M13" s="18">
        <v>1910.48</v>
      </c>
      <c r="N13" s="18">
        <v>1960.09</v>
      </c>
      <c r="O13" s="18">
        <v>2011.1</v>
      </c>
      <c r="P13" s="18">
        <v>2063.39</v>
      </c>
      <c r="Q13" s="18">
        <v>2116.79</v>
      </c>
      <c r="R13" s="18">
        <v>2171.19</v>
      </c>
      <c r="S13" s="18">
        <v>2226.4899999999998</v>
      </c>
      <c r="T13" s="18">
        <v>2282.59</v>
      </c>
      <c r="U13" s="18">
        <v>2339.44</v>
      </c>
      <c r="V13" s="18">
        <v>2396.9499999999998</v>
      </c>
      <c r="W13" s="18">
        <v>2455.08</v>
      </c>
      <c r="X13" s="18">
        <v>2513.77</v>
      </c>
      <c r="Y13" s="18">
        <v>2572.9899999999998</v>
      </c>
      <c r="Z13" s="18">
        <v>2632.7</v>
      </c>
      <c r="AA13" s="18">
        <v>2720.27</v>
      </c>
      <c r="AB13" s="18">
        <v>2781.52</v>
      </c>
      <c r="AC13" s="18">
        <v>2843.21</v>
      </c>
      <c r="AD13" s="18">
        <v>2905.27</v>
      </c>
      <c r="AE13" s="18">
        <v>2967.68</v>
      </c>
      <c r="AF13" s="18">
        <v>3030.38</v>
      </c>
      <c r="AG13" s="18">
        <v>3093.35</v>
      </c>
      <c r="AI13" s="3" t="s">
        <v>108</v>
      </c>
    </row>
    <row r="14" spans="1:35" x14ac:dyDescent="0.35">
      <c r="A14" t="s">
        <v>109</v>
      </c>
      <c r="B14" t="s">
        <v>107</v>
      </c>
      <c r="C14" s="17">
        <f t="shared" si="0"/>
        <v>280.84494000000001</v>
      </c>
      <c r="D14" s="18">
        <v>7.3071999999999999</v>
      </c>
      <c r="E14" s="18">
        <v>13.663500000000001</v>
      </c>
      <c r="F14" s="18">
        <v>14.6938</v>
      </c>
      <c r="G14" s="18">
        <v>15.778600000000001</v>
      </c>
      <c r="H14" s="18">
        <v>14.817600000000001</v>
      </c>
      <c r="I14" s="18">
        <v>13.753500000000001</v>
      </c>
      <c r="J14" s="18">
        <v>12.311999999999999</v>
      </c>
      <c r="K14" s="18">
        <v>10.696400000000001</v>
      </c>
      <c r="L14" s="18">
        <v>9.2864199999999997</v>
      </c>
      <c r="M14" s="18">
        <v>7.1443099999999999</v>
      </c>
      <c r="N14" s="18">
        <v>7.3296000000000001</v>
      </c>
      <c r="O14" s="18">
        <v>7.5201500000000001</v>
      </c>
      <c r="P14" s="18">
        <v>7.7154600000000002</v>
      </c>
      <c r="Q14" s="18">
        <v>7.9149799999999999</v>
      </c>
      <c r="R14" s="18">
        <v>8.1182200000000009</v>
      </c>
      <c r="S14" s="18">
        <v>8.3247999999999998</v>
      </c>
      <c r="T14" s="18">
        <v>8.5344200000000008</v>
      </c>
      <c r="U14" s="18">
        <v>8.74681</v>
      </c>
      <c r="V14" s="18">
        <v>8.9617100000000001</v>
      </c>
      <c r="W14" s="18">
        <v>9.1788900000000009</v>
      </c>
      <c r="X14" s="18">
        <v>9.39818</v>
      </c>
      <c r="Y14" s="18">
        <v>9.6194299999999995</v>
      </c>
      <c r="Z14" s="18">
        <v>9.8425399999999996</v>
      </c>
      <c r="AA14" s="18">
        <v>6.7116100000000003</v>
      </c>
      <c r="AB14" s="18">
        <v>6.86266</v>
      </c>
      <c r="AC14" s="18">
        <v>7.0147599999999999</v>
      </c>
      <c r="AD14" s="18">
        <v>7.1678100000000002</v>
      </c>
      <c r="AE14" s="18">
        <v>7.3216900000000003</v>
      </c>
      <c r="AF14" s="18">
        <v>7.4763099999999998</v>
      </c>
      <c r="AG14" s="18">
        <v>7.6315799999999996</v>
      </c>
      <c r="AI14" s="3" t="s">
        <v>110</v>
      </c>
    </row>
    <row r="15" spans="1:35" x14ac:dyDescent="0.35">
      <c r="A15" t="s">
        <v>111</v>
      </c>
      <c r="B15" t="s">
        <v>107</v>
      </c>
      <c r="C15" s="17">
        <f t="shared" si="0"/>
        <v>337.27949000000001</v>
      </c>
      <c r="D15" s="18">
        <v>5.1594800000000003</v>
      </c>
      <c r="E15" s="18">
        <v>9.7825199999999999</v>
      </c>
      <c r="F15" s="18">
        <v>10.725899999999999</v>
      </c>
      <c r="G15" s="18">
        <v>11.848800000000001</v>
      </c>
      <c r="H15" s="18">
        <v>11.6159</v>
      </c>
      <c r="I15" s="18">
        <v>11.385400000000001</v>
      </c>
      <c r="J15" s="18">
        <v>10.971399999999999</v>
      </c>
      <c r="K15" s="18">
        <v>10.4885</v>
      </c>
      <c r="L15" s="18">
        <v>10.340199999999999</v>
      </c>
      <c r="M15" s="18">
        <v>9.5980500000000006</v>
      </c>
      <c r="N15" s="18">
        <v>9.8227399999999996</v>
      </c>
      <c r="O15" s="18">
        <v>10.056100000000001</v>
      </c>
      <c r="P15" s="18">
        <v>10.296799999999999</v>
      </c>
      <c r="Q15" s="18">
        <v>10.543799999999999</v>
      </c>
      <c r="R15" s="18">
        <v>10.796200000000001</v>
      </c>
      <c r="S15" s="18">
        <v>11.0533</v>
      </c>
      <c r="T15" s="18">
        <v>11.3146</v>
      </c>
      <c r="U15" s="18">
        <v>11.579800000000001</v>
      </c>
      <c r="V15" s="18">
        <v>11.8483</v>
      </c>
      <c r="W15" s="18">
        <v>12.1198</v>
      </c>
      <c r="X15" s="18">
        <v>12.3941</v>
      </c>
      <c r="Y15" s="18">
        <v>12.670999999999999</v>
      </c>
      <c r="Z15" s="18">
        <v>12.950200000000001</v>
      </c>
      <c r="AA15" s="18">
        <v>11.797800000000001</v>
      </c>
      <c r="AB15" s="18">
        <v>12.049200000000001</v>
      </c>
      <c r="AC15" s="18">
        <v>12.302300000000001</v>
      </c>
      <c r="AD15" s="18">
        <v>12.556900000000001</v>
      </c>
      <c r="AE15" s="18">
        <v>12.812799999999999</v>
      </c>
      <c r="AF15" s="18">
        <v>13.069800000000001</v>
      </c>
      <c r="AG15" s="18">
        <v>13.3278</v>
      </c>
      <c r="AI15" s="3" t="s">
        <v>112</v>
      </c>
    </row>
    <row r="16" spans="1:35" x14ac:dyDescent="0.35">
      <c r="A16" t="s">
        <v>113</v>
      </c>
      <c r="B16" t="s">
        <v>107</v>
      </c>
      <c r="C16" s="17">
        <f t="shared" si="0"/>
        <v>1897.6448999999996</v>
      </c>
      <c r="D16" s="18">
        <v>50.696199999999997</v>
      </c>
      <c r="E16" s="18">
        <v>92.256900000000002</v>
      </c>
      <c r="F16" s="18">
        <v>99.213700000000003</v>
      </c>
      <c r="G16" s="18">
        <v>106.538</v>
      </c>
      <c r="H16" s="18">
        <v>100.05</v>
      </c>
      <c r="I16" s="18">
        <v>92.864699999999999</v>
      </c>
      <c r="J16" s="18">
        <v>83.131399999999999</v>
      </c>
      <c r="K16" s="18">
        <v>72.222999999999999</v>
      </c>
      <c r="L16" s="18">
        <v>62.7027</v>
      </c>
      <c r="M16" s="18">
        <v>48.238999999999997</v>
      </c>
      <c r="N16" s="18">
        <v>49.490099999999998</v>
      </c>
      <c r="O16" s="18">
        <v>50.776699999999998</v>
      </c>
      <c r="P16" s="18">
        <v>52.095399999999998</v>
      </c>
      <c r="Q16" s="18">
        <v>53.442599999999999</v>
      </c>
      <c r="R16" s="18">
        <v>54.814900000000002</v>
      </c>
      <c r="S16" s="18">
        <v>56.209699999999998</v>
      </c>
      <c r="T16" s="18">
        <v>57.625100000000003</v>
      </c>
      <c r="U16" s="18">
        <v>59.059100000000001</v>
      </c>
      <c r="V16" s="18">
        <v>60.510199999999998</v>
      </c>
      <c r="W16" s="18">
        <v>61.976599999999998</v>
      </c>
      <c r="X16" s="18">
        <v>63.457299999999996</v>
      </c>
      <c r="Y16" s="18">
        <v>64.9512</v>
      </c>
      <c r="Z16" s="18">
        <v>66.457599999999999</v>
      </c>
      <c r="AA16" s="18">
        <v>45.317399999999999</v>
      </c>
      <c r="AB16" s="18">
        <v>46.337299999999999</v>
      </c>
      <c r="AC16" s="18">
        <v>47.364199999999997</v>
      </c>
      <c r="AD16" s="18">
        <v>48.397599999999997</v>
      </c>
      <c r="AE16" s="18">
        <v>49.436700000000002</v>
      </c>
      <c r="AF16" s="18">
        <v>50.480600000000003</v>
      </c>
      <c r="AG16" s="18">
        <v>51.529000000000003</v>
      </c>
      <c r="AI16" s="3" t="s">
        <v>114</v>
      </c>
    </row>
    <row r="17" spans="1:35" x14ac:dyDescent="0.35">
      <c r="A17" t="s">
        <v>115</v>
      </c>
      <c r="B17" t="s">
        <v>107</v>
      </c>
      <c r="C17" s="17">
        <f t="shared" si="0"/>
        <v>957.11801000000003</v>
      </c>
      <c r="D17" s="18">
        <v>6.6434100000000003</v>
      </c>
      <c r="E17" s="18">
        <v>13.711499999999999</v>
      </c>
      <c r="F17" s="18">
        <v>16.408000000000001</v>
      </c>
      <c r="G17" s="18">
        <v>19.798999999999999</v>
      </c>
      <c r="H17" s="18">
        <v>21.148199999999999</v>
      </c>
      <c r="I17" s="18">
        <v>22.677700000000002</v>
      </c>
      <c r="J17" s="18">
        <v>23.936900000000001</v>
      </c>
      <c r="K17" s="18">
        <v>25.2182</v>
      </c>
      <c r="L17" s="18">
        <v>27.653500000000001</v>
      </c>
      <c r="M17" s="18">
        <v>28.6572</v>
      </c>
      <c r="N17" s="18">
        <v>29.401399999999999</v>
      </c>
      <c r="O17" s="18">
        <v>30.166599999999999</v>
      </c>
      <c r="P17" s="18">
        <v>30.950800000000001</v>
      </c>
      <c r="Q17" s="18">
        <v>31.751899999999999</v>
      </c>
      <c r="R17" s="18">
        <v>32.567900000000002</v>
      </c>
      <c r="S17" s="18">
        <v>33.397300000000001</v>
      </c>
      <c r="T17" s="18">
        <v>34.238900000000001</v>
      </c>
      <c r="U17" s="18">
        <v>35.0916</v>
      </c>
      <c r="V17" s="18">
        <v>35.954300000000003</v>
      </c>
      <c r="W17" s="18">
        <v>36.8262</v>
      </c>
      <c r="X17" s="18">
        <v>37.706600000000002</v>
      </c>
      <c r="Y17" s="18">
        <v>38.594900000000003</v>
      </c>
      <c r="Z17" s="18">
        <v>39.490600000000001</v>
      </c>
      <c r="AA17" s="18">
        <v>40.804000000000002</v>
      </c>
      <c r="AB17" s="18">
        <v>41.722900000000003</v>
      </c>
      <c r="AC17" s="18">
        <v>42.648099999999999</v>
      </c>
      <c r="AD17" s="18">
        <v>43.579099999999997</v>
      </c>
      <c r="AE17" s="18">
        <v>44.5152</v>
      </c>
      <c r="AF17" s="18">
        <v>45.455800000000004</v>
      </c>
      <c r="AG17" s="18">
        <v>46.400300000000001</v>
      </c>
      <c r="AI17" s="3" t="s">
        <v>116</v>
      </c>
    </row>
    <row r="18" spans="1:35" x14ac:dyDescent="0.35">
      <c r="A18" t="s">
        <v>117</v>
      </c>
      <c r="B18" t="s">
        <v>107</v>
      </c>
      <c r="C18" s="17">
        <f t="shared" si="0"/>
        <v>5885.5292999999992</v>
      </c>
      <c r="D18" s="18">
        <v>44.720599999999997</v>
      </c>
      <c r="E18" s="18">
        <v>91.031700000000001</v>
      </c>
      <c r="F18" s="18">
        <v>107.738</v>
      </c>
      <c r="G18" s="18">
        <v>128.601</v>
      </c>
      <c r="H18" s="18">
        <v>135.90899999999999</v>
      </c>
      <c r="I18" s="18">
        <v>144.21299999999999</v>
      </c>
      <c r="J18" s="18">
        <v>150.65199999999999</v>
      </c>
      <c r="K18" s="18">
        <v>157.09800000000001</v>
      </c>
      <c r="L18" s="18">
        <v>170.53</v>
      </c>
      <c r="M18" s="18">
        <v>177.39099999999999</v>
      </c>
      <c r="N18" s="18">
        <v>181.93199999999999</v>
      </c>
      <c r="O18" s="18">
        <v>186.601</v>
      </c>
      <c r="P18" s="18">
        <v>191.387</v>
      </c>
      <c r="Q18" s="18">
        <v>196.27600000000001</v>
      </c>
      <c r="R18" s="18">
        <v>198.827</v>
      </c>
      <c r="S18" s="18">
        <v>203.88900000000001</v>
      </c>
      <c r="T18" s="18">
        <v>209.02500000000001</v>
      </c>
      <c r="U18" s="18">
        <v>214.22900000000001</v>
      </c>
      <c r="V18" s="18">
        <v>219.494</v>
      </c>
      <c r="W18" s="18">
        <v>224.816</v>
      </c>
      <c r="X18" s="18">
        <v>230.18899999999999</v>
      </c>
      <c r="Y18" s="18">
        <v>235.61</v>
      </c>
      <c r="Z18" s="18">
        <v>241.07599999999999</v>
      </c>
      <c r="AA18" s="18">
        <v>246.63900000000001</v>
      </c>
      <c r="AB18" s="18">
        <v>252.191</v>
      </c>
      <c r="AC18" s="18">
        <v>257.78300000000002</v>
      </c>
      <c r="AD18" s="18">
        <v>263.40899999999999</v>
      </c>
      <c r="AE18" s="18">
        <v>269.06599999999997</v>
      </c>
      <c r="AF18" s="18">
        <v>274.74900000000002</v>
      </c>
      <c r="AG18" s="18">
        <v>280.45699999999999</v>
      </c>
      <c r="AI18" s="3" t="s">
        <v>118</v>
      </c>
    </row>
    <row r="20" spans="1:35" x14ac:dyDescent="0.35">
      <c r="A20" s="8" t="s">
        <v>119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pans="1:35" x14ac:dyDescent="0.35">
      <c r="A21" t="s">
        <v>120</v>
      </c>
      <c r="B21" t="s">
        <v>107</v>
      </c>
      <c r="C21" s="17">
        <f t="shared" ref="C21:C30" si="1">SUM(D21:AG21)</f>
        <v>3399.3909999999987</v>
      </c>
      <c r="D21" s="18">
        <v>72.304000000000002</v>
      </c>
      <c r="E21" s="18">
        <v>72.175200000000004</v>
      </c>
      <c r="F21" s="18">
        <v>84.636600000000001</v>
      </c>
      <c r="G21" s="18">
        <v>94.093199999999996</v>
      </c>
      <c r="H21" s="18">
        <v>102.38800000000001</v>
      </c>
      <c r="I21" s="18">
        <v>108.074</v>
      </c>
      <c r="J21" s="18">
        <v>113.63200000000001</v>
      </c>
      <c r="K21" s="18">
        <v>119.65600000000001</v>
      </c>
      <c r="L21" s="18">
        <v>119.65600000000001</v>
      </c>
      <c r="M21" s="18">
        <v>119.65600000000001</v>
      </c>
      <c r="N21" s="18">
        <v>119.65600000000001</v>
      </c>
      <c r="O21" s="18">
        <v>119.65600000000001</v>
      </c>
      <c r="P21" s="18">
        <v>119.65600000000001</v>
      </c>
      <c r="Q21" s="18">
        <v>119.65600000000001</v>
      </c>
      <c r="R21" s="18">
        <v>119.65600000000001</v>
      </c>
      <c r="S21" s="18">
        <v>119.65600000000001</v>
      </c>
      <c r="T21" s="18">
        <v>119.65600000000001</v>
      </c>
      <c r="U21" s="18">
        <v>119.65600000000001</v>
      </c>
      <c r="V21" s="18">
        <v>119.65600000000001</v>
      </c>
      <c r="W21" s="18">
        <v>119.65600000000001</v>
      </c>
      <c r="X21" s="18">
        <v>119.65600000000001</v>
      </c>
      <c r="Y21" s="18">
        <v>119.65600000000001</v>
      </c>
      <c r="Z21" s="18">
        <v>119.65600000000001</v>
      </c>
      <c r="AA21" s="18">
        <v>119.65600000000001</v>
      </c>
      <c r="AB21" s="18">
        <v>119.65600000000001</v>
      </c>
      <c r="AC21" s="18">
        <v>119.65600000000001</v>
      </c>
      <c r="AD21" s="18">
        <v>119.65600000000001</v>
      </c>
      <c r="AE21" s="18">
        <v>119.65600000000001</v>
      </c>
      <c r="AF21" s="18">
        <v>119.65600000000001</v>
      </c>
      <c r="AG21" s="18">
        <v>119.65600000000001</v>
      </c>
      <c r="AI21" s="3" t="s">
        <v>121</v>
      </c>
    </row>
    <row r="22" spans="1:35" x14ac:dyDescent="0.35">
      <c r="A22" t="s">
        <v>122</v>
      </c>
      <c r="B22" t="s">
        <v>107</v>
      </c>
      <c r="C22" s="17">
        <f t="shared" si="1"/>
        <v>117.41195</v>
      </c>
      <c r="D22" s="18">
        <v>8.1720600000000001</v>
      </c>
      <c r="E22" s="18">
        <v>3.2813699999999999</v>
      </c>
      <c r="F22" s="18">
        <v>3.3855599999999999</v>
      </c>
      <c r="G22" s="18">
        <v>3.4539800000000001</v>
      </c>
      <c r="H22" s="18">
        <v>3.5263200000000001</v>
      </c>
      <c r="I22" s="18">
        <v>4.4633200000000004</v>
      </c>
      <c r="J22" s="18">
        <v>3.5910199999999999</v>
      </c>
      <c r="K22" s="18">
        <v>3.6227200000000002</v>
      </c>
      <c r="L22" s="18">
        <v>3.6227200000000002</v>
      </c>
      <c r="M22" s="18">
        <v>3.6227200000000002</v>
      </c>
      <c r="N22" s="18">
        <v>4.6339300000000003</v>
      </c>
      <c r="O22" s="18">
        <v>3.6227200000000002</v>
      </c>
      <c r="P22" s="18">
        <v>3.6227200000000002</v>
      </c>
      <c r="Q22" s="18">
        <v>3.6227200000000002</v>
      </c>
      <c r="R22" s="18">
        <v>3.6227200000000002</v>
      </c>
      <c r="S22" s="18">
        <v>4.6339300000000003</v>
      </c>
      <c r="T22" s="18">
        <v>3.6227200000000002</v>
      </c>
      <c r="U22" s="18">
        <v>3.6227200000000002</v>
      </c>
      <c r="V22" s="18">
        <v>3.6227200000000002</v>
      </c>
      <c r="W22" s="18">
        <v>3.6227200000000002</v>
      </c>
      <c r="X22" s="18">
        <v>4.6510300000000004</v>
      </c>
      <c r="Y22" s="18">
        <v>3.6398100000000002</v>
      </c>
      <c r="Z22" s="18">
        <v>3.6398100000000002</v>
      </c>
      <c r="AA22" s="18">
        <v>3.6398100000000002</v>
      </c>
      <c r="AB22" s="18">
        <v>3.6398100000000002</v>
      </c>
      <c r="AC22" s="18">
        <v>4.6510300000000004</v>
      </c>
      <c r="AD22" s="18">
        <v>3.6398100000000002</v>
      </c>
      <c r="AE22" s="18">
        <v>3.6398100000000002</v>
      </c>
      <c r="AF22" s="18">
        <v>3.6398100000000002</v>
      </c>
      <c r="AG22" s="18">
        <v>3.6398100000000002</v>
      </c>
      <c r="AI22" s="3" t="s">
        <v>123</v>
      </c>
    </row>
    <row r="23" spans="1:35" x14ac:dyDescent="0.35">
      <c r="A23" t="s">
        <v>124</v>
      </c>
      <c r="B23" t="s">
        <v>107</v>
      </c>
      <c r="C23" s="17">
        <f t="shared" si="1"/>
        <v>2441.0306</v>
      </c>
      <c r="D23" s="18">
        <v>79.350099999999998</v>
      </c>
      <c r="E23" s="18">
        <v>86.127200000000002</v>
      </c>
      <c r="F23" s="18">
        <v>88.131299999999996</v>
      </c>
      <c r="G23" s="18">
        <v>87.305300000000003</v>
      </c>
      <c r="H23" s="18">
        <v>87.305300000000003</v>
      </c>
      <c r="I23" s="18">
        <v>87.305300000000003</v>
      </c>
      <c r="J23" s="18">
        <v>87.305300000000003</v>
      </c>
      <c r="K23" s="18">
        <v>87.305300000000003</v>
      </c>
      <c r="L23" s="18">
        <v>78.900099999999995</v>
      </c>
      <c r="M23" s="18">
        <v>78.900099999999995</v>
      </c>
      <c r="N23" s="18">
        <v>78.900099999999995</v>
      </c>
      <c r="O23" s="18">
        <v>78.900099999999995</v>
      </c>
      <c r="P23" s="18">
        <v>78.900099999999995</v>
      </c>
      <c r="Q23" s="18">
        <v>78.900099999999995</v>
      </c>
      <c r="R23" s="18">
        <v>78.900099999999995</v>
      </c>
      <c r="S23" s="18">
        <v>78.900099999999995</v>
      </c>
      <c r="T23" s="18">
        <v>78.900099999999995</v>
      </c>
      <c r="U23" s="18">
        <v>78.900099999999995</v>
      </c>
      <c r="V23" s="18">
        <v>78.900099999999995</v>
      </c>
      <c r="W23" s="18">
        <v>78.900099999999995</v>
      </c>
      <c r="X23" s="18">
        <v>78.900099999999995</v>
      </c>
      <c r="Y23" s="18">
        <v>78.900099999999995</v>
      </c>
      <c r="Z23" s="18">
        <v>78.900099999999995</v>
      </c>
      <c r="AA23" s="18">
        <v>78.900099999999995</v>
      </c>
      <c r="AB23" s="18">
        <v>78.900099999999995</v>
      </c>
      <c r="AC23" s="18">
        <v>78.900099999999995</v>
      </c>
      <c r="AD23" s="18">
        <v>78.900099999999995</v>
      </c>
      <c r="AE23" s="18">
        <v>78.900099999999995</v>
      </c>
      <c r="AF23" s="18">
        <v>78.900099999999995</v>
      </c>
      <c r="AG23" s="18">
        <v>93.993399999999994</v>
      </c>
      <c r="AI23" s="3" t="s">
        <v>125</v>
      </c>
    </row>
    <row r="24" spans="1:35" x14ac:dyDescent="0.35">
      <c r="A24" t="s">
        <v>126</v>
      </c>
      <c r="B24" t="s">
        <v>107</v>
      </c>
      <c r="C24" s="17">
        <f t="shared" si="1"/>
        <v>537.37405999999999</v>
      </c>
      <c r="D24" s="18">
        <v>6.7046699999999646</v>
      </c>
      <c r="E24" s="18">
        <v>7.6632099999999923</v>
      </c>
      <c r="F24" s="18">
        <v>11.943540000000009</v>
      </c>
      <c r="G24" s="18">
        <v>13.677269999999959</v>
      </c>
      <c r="H24" s="18">
        <v>15.532659999999961</v>
      </c>
      <c r="I24" s="18">
        <v>16.119540000000029</v>
      </c>
      <c r="J24" s="18">
        <v>17.36081999999999</v>
      </c>
      <c r="K24" s="18">
        <v>19.49445999999995</v>
      </c>
      <c r="L24" s="18">
        <v>19.49441000000002</v>
      </c>
      <c r="M24" s="18">
        <v>19.49432999999993</v>
      </c>
      <c r="N24" s="18">
        <v>19.495020000000011</v>
      </c>
      <c r="O24" s="18">
        <v>19.49409999999995</v>
      </c>
      <c r="P24" s="18">
        <v>19.495029999999989</v>
      </c>
      <c r="Q24" s="18">
        <v>19.494509999999991</v>
      </c>
      <c r="R24" s="18">
        <v>19.49448000000001</v>
      </c>
      <c r="S24" s="18">
        <v>19.4941</v>
      </c>
      <c r="T24" s="18">
        <v>19.494869999999992</v>
      </c>
      <c r="U24" s="18">
        <v>19.494330000000051</v>
      </c>
      <c r="V24" s="18">
        <v>19.49430000000001</v>
      </c>
      <c r="W24" s="18">
        <v>19.49496999999997</v>
      </c>
      <c r="X24" s="18">
        <v>19.494379999999978</v>
      </c>
      <c r="Y24" s="18">
        <v>19.49419</v>
      </c>
      <c r="Z24" s="18">
        <v>19.49417</v>
      </c>
      <c r="AA24" s="18">
        <v>19.494710000000051</v>
      </c>
      <c r="AB24" s="18">
        <v>19.494230000000019</v>
      </c>
      <c r="AC24" s="18">
        <v>19.494779999999992</v>
      </c>
      <c r="AD24" s="18">
        <v>19.49430000000001</v>
      </c>
      <c r="AE24" s="18">
        <v>19.494090000000089</v>
      </c>
      <c r="AF24" s="18">
        <v>19.494329999999991</v>
      </c>
      <c r="AG24" s="18">
        <v>19.494260000000001</v>
      </c>
      <c r="AI24" s="3" t="s">
        <v>127</v>
      </c>
    </row>
    <row r="25" spans="1:35" x14ac:dyDescent="0.35">
      <c r="A25" t="s">
        <v>128</v>
      </c>
      <c r="B25" t="s">
        <v>107</v>
      </c>
      <c r="C25" s="17">
        <f t="shared" si="1"/>
        <v>151.41707999999997</v>
      </c>
      <c r="D25" s="18">
        <v>3.1316000000000002</v>
      </c>
      <c r="E25" s="18">
        <v>5.3303900000000004</v>
      </c>
      <c r="F25" s="18">
        <v>5.2673899999999998</v>
      </c>
      <c r="G25" s="18">
        <v>5.2548399999999997</v>
      </c>
      <c r="H25" s="18">
        <v>5.2548399999999997</v>
      </c>
      <c r="I25" s="18">
        <v>5.2548399999999997</v>
      </c>
      <c r="J25" s="18">
        <v>5.2548399999999997</v>
      </c>
      <c r="K25" s="18">
        <v>5.2548399999999997</v>
      </c>
      <c r="L25" s="18">
        <v>5.0642500000000004</v>
      </c>
      <c r="M25" s="18">
        <v>5.0642500000000004</v>
      </c>
      <c r="N25" s="18">
        <v>5.0642500000000004</v>
      </c>
      <c r="O25" s="18">
        <v>5.0642500000000004</v>
      </c>
      <c r="P25" s="18">
        <v>5.0642500000000004</v>
      </c>
      <c r="Q25" s="18">
        <v>5.0642500000000004</v>
      </c>
      <c r="R25" s="18">
        <v>5.0642500000000004</v>
      </c>
      <c r="S25" s="18">
        <v>5.0642500000000004</v>
      </c>
      <c r="T25" s="18">
        <v>5.0642500000000004</v>
      </c>
      <c r="U25" s="18">
        <v>5.0642500000000004</v>
      </c>
      <c r="V25" s="18">
        <v>5.0642500000000004</v>
      </c>
      <c r="W25" s="18">
        <v>5.0642500000000004</v>
      </c>
      <c r="X25" s="18">
        <v>5.0642500000000004</v>
      </c>
      <c r="Y25" s="18">
        <v>5.0642500000000004</v>
      </c>
      <c r="Z25" s="18">
        <v>5.0642500000000004</v>
      </c>
      <c r="AA25" s="18">
        <v>5.0642500000000004</v>
      </c>
      <c r="AB25" s="18">
        <v>5.0642500000000004</v>
      </c>
      <c r="AC25" s="18">
        <v>5.0642500000000004</v>
      </c>
      <c r="AD25" s="18">
        <v>5.0642500000000004</v>
      </c>
      <c r="AE25" s="18">
        <v>5.0642500000000004</v>
      </c>
      <c r="AF25" s="18">
        <v>5.0642500000000004</v>
      </c>
      <c r="AG25" s="18">
        <v>5.0642500000000004</v>
      </c>
      <c r="AI25" s="3" t="s">
        <v>129</v>
      </c>
    </row>
    <row r="26" spans="1:35" x14ac:dyDescent="0.35">
      <c r="A26" t="s">
        <v>130</v>
      </c>
      <c r="B26" t="s">
        <v>107</v>
      </c>
      <c r="C26" s="17">
        <f t="shared" si="1"/>
        <v>56.594909999999999</v>
      </c>
      <c r="D26" s="18">
        <v>1.8528100000000001</v>
      </c>
      <c r="E26" s="18">
        <v>1.8528100000000001</v>
      </c>
      <c r="F26" s="18">
        <v>1.8528100000000001</v>
      </c>
      <c r="G26" s="18">
        <v>1.8528100000000001</v>
      </c>
      <c r="H26" s="18">
        <v>2.1896800000000001</v>
      </c>
      <c r="I26" s="18">
        <v>1.8528100000000001</v>
      </c>
      <c r="J26" s="18">
        <v>1.8528100000000001</v>
      </c>
      <c r="K26" s="18">
        <v>1.8528100000000001</v>
      </c>
      <c r="L26" s="18">
        <v>1.8528100000000001</v>
      </c>
      <c r="M26" s="18">
        <v>1.8528100000000001</v>
      </c>
      <c r="N26" s="18">
        <v>1.8528100000000001</v>
      </c>
      <c r="O26" s="18">
        <v>1.8528100000000001</v>
      </c>
      <c r="P26" s="18">
        <v>1.8528100000000001</v>
      </c>
      <c r="Q26" s="18">
        <v>1.8528100000000001</v>
      </c>
      <c r="R26" s="18">
        <v>1.8528100000000001</v>
      </c>
      <c r="S26" s="18">
        <v>1.8528100000000001</v>
      </c>
      <c r="T26" s="18">
        <v>1.8528100000000001</v>
      </c>
      <c r="U26" s="18">
        <v>1.8528100000000001</v>
      </c>
      <c r="V26" s="18">
        <v>1.8528100000000001</v>
      </c>
      <c r="W26" s="18">
        <v>2.1896800000000001</v>
      </c>
      <c r="X26" s="18">
        <v>1.8528100000000001</v>
      </c>
      <c r="Y26" s="18">
        <v>1.8528100000000001</v>
      </c>
      <c r="Z26" s="18">
        <v>1.8528100000000001</v>
      </c>
      <c r="AA26" s="18">
        <v>1.8528100000000001</v>
      </c>
      <c r="AB26" s="18">
        <v>1.8528100000000001</v>
      </c>
      <c r="AC26" s="18">
        <v>1.8528100000000001</v>
      </c>
      <c r="AD26" s="18">
        <v>1.8528100000000001</v>
      </c>
      <c r="AE26" s="18">
        <v>1.8528100000000001</v>
      </c>
      <c r="AF26" s="18">
        <v>1.8528100000000001</v>
      </c>
      <c r="AG26" s="18">
        <v>2.1896800000000001</v>
      </c>
      <c r="AI26" s="3" t="s">
        <v>131</v>
      </c>
    </row>
    <row r="27" spans="1:35" x14ac:dyDescent="0.35">
      <c r="A27" t="s">
        <v>132</v>
      </c>
      <c r="B27" t="s">
        <v>107</v>
      </c>
      <c r="C27" s="17">
        <f t="shared" si="1"/>
        <v>647.64947000000006</v>
      </c>
      <c r="D27" s="18">
        <v>4.4953700000000003</v>
      </c>
      <c r="E27" s="18">
        <v>9.2781000000000002</v>
      </c>
      <c r="F27" s="18">
        <v>11.1027</v>
      </c>
      <c r="G27" s="18">
        <v>13.3973</v>
      </c>
      <c r="H27" s="18">
        <v>14.3103</v>
      </c>
      <c r="I27" s="18">
        <v>15.3452</v>
      </c>
      <c r="J27" s="18">
        <v>16.197299999999998</v>
      </c>
      <c r="K27" s="18">
        <v>17.064299999999999</v>
      </c>
      <c r="L27" s="18">
        <v>18.712199999999999</v>
      </c>
      <c r="M27" s="18">
        <v>19.391400000000001</v>
      </c>
      <c r="N27" s="18">
        <v>19.8949</v>
      </c>
      <c r="O27" s="18">
        <v>20.412700000000001</v>
      </c>
      <c r="P27" s="18">
        <v>20.9434</v>
      </c>
      <c r="Q27" s="18">
        <v>21.485399999999998</v>
      </c>
      <c r="R27" s="18">
        <v>22.037600000000001</v>
      </c>
      <c r="S27" s="18">
        <v>22.598800000000001</v>
      </c>
      <c r="T27" s="18">
        <v>23.168299999999999</v>
      </c>
      <c r="U27" s="18">
        <v>23.7453</v>
      </c>
      <c r="V27" s="18">
        <v>24.3291</v>
      </c>
      <c r="W27" s="18">
        <v>24.9191</v>
      </c>
      <c r="X27" s="18">
        <v>25.514800000000001</v>
      </c>
      <c r="Y27" s="18">
        <v>26.1159</v>
      </c>
      <c r="Z27" s="18">
        <v>26.721900000000002</v>
      </c>
      <c r="AA27" s="18">
        <v>27.610700000000001</v>
      </c>
      <c r="AB27" s="18">
        <v>28.232500000000002</v>
      </c>
      <c r="AC27" s="18">
        <v>28.858499999999999</v>
      </c>
      <c r="AD27" s="18">
        <v>29.488499999999998</v>
      </c>
      <c r="AE27" s="18">
        <v>30.122</v>
      </c>
      <c r="AF27" s="18">
        <v>30.758400000000002</v>
      </c>
      <c r="AG27" s="18">
        <v>31.397500000000001</v>
      </c>
      <c r="AI27" s="3" t="s">
        <v>133</v>
      </c>
    </row>
    <row r="28" spans="1:35" x14ac:dyDescent="0.35">
      <c r="A28" t="s">
        <v>134</v>
      </c>
      <c r="B28" t="s">
        <v>107</v>
      </c>
      <c r="C28" s="17">
        <f t="shared" si="1"/>
        <v>1466.0459000000001</v>
      </c>
      <c r="D28" s="18">
        <v>31.775200000000002</v>
      </c>
      <c r="E28" s="18">
        <v>36.558</v>
      </c>
      <c r="F28" s="18">
        <v>38.382599999999996</v>
      </c>
      <c r="G28" s="18">
        <v>40.677199999999999</v>
      </c>
      <c r="H28" s="18">
        <v>41.5901</v>
      </c>
      <c r="I28" s="18">
        <v>42.625100000000003</v>
      </c>
      <c r="J28" s="18">
        <v>43.477200000000003</v>
      </c>
      <c r="K28" s="18">
        <v>44.344200000000001</v>
      </c>
      <c r="L28" s="18">
        <v>45.992100000000001</v>
      </c>
      <c r="M28" s="18">
        <v>46.671300000000002</v>
      </c>
      <c r="N28" s="18">
        <v>47.174799999999998</v>
      </c>
      <c r="O28" s="18">
        <v>47.692599999999999</v>
      </c>
      <c r="P28" s="18">
        <v>48.223199999999999</v>
      </c>
      <c r="Q28" s="18">
        <v>48.765300000000003</v>
      </c>
      <c r="R28" s="18">
        <v>49.317500000000003</v>
      </c>
      <c r="S28" s="18">
        <v>49.878700000000002</v>
      </c>
      <c r="T28" s="18">
        <v>50.4482</v>
      </c>
      <c r="U28" s="18">
        <v>51.025199999999998</v>
      </c>
      <c r="V28" s="18">
        <v>51.609000000000002</v>
      </c>
      <c r="W28" s="18">
        <v>52.198999999999998</v>
      </c>
      <c r="X28" s="18">
        <v>52.794699999999999</v>
      </c>
      <c r="Y28" s="18">
        <v>53.395699999999998</v>
      </c>
      <c r="Z28" s="18">
        <v>54.001800000000003</v>
      </c>
      <c r="AA28" s="18">
        <v>54.890599999999999</v>
      </c>
      <c r="AB28" s="18">
        <v>55.512300000000003</v>
      </c>
      <c r="AC28" s="18">
        <v>56.138399999999997</v>
      </c>
      <c r="AD28" s="18">
        <v>56.7684</v>
      </c>
      <c r="AE28" s="18">
        <v>57.401800000000001</v>
      </c>
      <c r="AF28" s="18">
        <v>58.0383</v>
      </c>
      <c r="AG28" s="18">
        <v>58.677399999999999</v>
      </c>
      <c r="AI28" s="3" t="s">
        <v>135</v>
      </c>
    </row>
    <row r="29" spans="1:35" x14ac:dyDescent="0.35">
      <c r="A29" t="s">
        <v>136</v>
      </c>
      <c r="B29" t="s">
        <v>107</v>
      </c>
      <c r="C29" s="17">
        <f t="shared" si="1"/>
        <v>258.24403000000001</v>
      </c>
      <c r="D29" s="18">
        <v>5.82219</v>
      </c>
      <c r="E29" s="18">
        <v>6.8417199999999996</v>
      </c>
      <c r="F29" s="18">
        <v>11.3835</v>
      </c>
      <c r="G29" s="18">
        <v>10.8781</v>
      </c>
      <c r="H29" s="18">
        <v>10.761799999999999</v>
      </c>
      <c r="I29" s="18">
        <v>9.9258900000000008</v>
      </c>
      <c r="J29" s="18">
        <v>9.7257099999999994</v>
      </c>
      <c r="K29" s="18">
        <v>9.72837</v>
      </c>
      <c r="L29" s="18">
        <v>7.1974099999999996</v>
      </c>
      <c r="M29" s="18">
        <v>7.2300899999999997</v>
      </c>
      <c r="N29" s="18">
        <v>7.2481900000000001</v>
      </c>
      <c r="O29" s="18">
        <v>7.3147200000000003</v>
      </c>
      <c r="P29" s="18">
        <v>7.5094900000000004</v>
      </c>
      <c r="Q29" s="18">
        <v>7.5599100000000004</v>
      </c>
      <c r="R29" s="18">
        <v>7.6835399999999998</v>
      </c>
      <c r="S29" s="18">
        <v>7.8183100000000003</v>
      </c>
      <c r="T29" s="18">
        <v>8.1007499999999997</v>
      </c>
      <c r="U29" s="18">
        <v>8.1092899999999997</v>
      </c>
      <c r="V29" s="18">
        <v>8.1327200000000008</v>
      </c>
      <c r="W29" s="18">
        <v>8.2861799999999999</v>
      </c>
      <c r="X29" s="18">
        <v>8.3659300000000005</v>
      </c>
      <c r="Y29" s="18">
        <v>8.4212399999999992</v>
      </c>
      <c r="Z29" s="18">
        <v>8.6711600000000004</v>
      </c>
      <c r="AA29" s="18">
        <v>8.7610200000000003</v>
      </c>
      <c r="AB29" s="18">
        <v>8.952</v>
      </c>
      <c r="AC29" s="18">
        <v>8.9731299999999994</v>
      </c>
      <c r="AD29" s="18">
        <v>9.0838300000000007</v>
      </c>
      <c r="AE29" s="18">
        <v>9.1521399999999993</v>
      </c>
      <c r="AF29" s="18">
        <v>10.276</v>
      </c>
      <c r="AG29" s="18">
        <v>10.329700000000001</v>
      </c>
      <c r="AI29" s="3" t="s">
        <v>137</v>
      </c>
    </row>
    <row r="30" spans="1:35" x14ac:dyDescent="0.35">
      <c r="A30" t="s">
        <v>138</v>
      </c>
      <c r="B30" t="s">
        <v>107</v>
      </c>
      <c r="C30" s="17">
        <f t="shared" si="1"/>
        <v>9075.1589999999997</v>
      </c>
      <c r="D30" s="18">
        <v>213.608</v>
      </c>
      <c r="E30" s="18">
        <v>229.108</v>
      </c>
      <c r="F30" s="18">
        <v>256.08600000000001</v>
      </c>
      <c r="G30" s="18">
        <v>270.58999999999997</v>
      </c>
      <c r="H30" s="18">
        <v>282.85899999999998</v>
      </c>
      <c r="I30" s="18">
        <v>290.96600000000001</v>
      </c>
      <c r="J30" s="18">
        <v>298.39699999999999</v>
      </c>
      <c r="K30" s="18">
        <v>308.32299999999998</v>
      </c>
      <c r="L30" s="18">
        <v>300.49200000000002</v>
      </c>
      <c r="M30" s="18">
        <v>301.88299999999998</v>
      </c>
      <c r="N30" s="18">
        <v>303.92</v>
      </c>
      <c r="O30" s="18">
        <v>304.01</v>
      </c>
      <c r="P30" s="18">
        <v>305.267</v>
      </c>
      <c r="Q30" s="18">
        <v>306.40100000000001</v>
      </c>
      <c r="R30" s="18">
        <v>307.62900000000002</v>
      </c>
      <c r="S30" s="18">
        <v>309.89699999999999</v>
      </c>
      <c r="T30" s="18">
        <v>310.30799999999999</v>
      </c>
      <c r="U30" s="18">
        <v>311.47000000000003</v>
      </c>
      <c r="V30" s="18">
        <v>312.661</v>
      </c>
      <c r="W30" s="18">
        <v>314.33199999999999</v>
      </c>
      <c r="X30" s="18">
        <v>316.29399999999998</v>
      </c>
      <c r="Y30" s="18">
        <v>316.54000000000002</v>
      </c>
      <c r="Z30" s="18">
        <v>318.00200000000001</v>
      </c>
      <c r="AA30" s="18">
        <v>319.87</v>
      </c>
      <c r="AB30" s="18">
        <v>321.30399999999997</v>
      </c>
      <c r="AC30" s="18">
        <v>323.589</v>
      </c>
      <c r="AD30" s="18">
        <v>323.94799999999998</v>
      </c>
      <c r="AE30" s="18">
        <v>325.28300000000002</v>
      </c>
      <c r="AF30" s="18">
        <v>327.68</v>
      </c>
      <c r="AG30" s="18">
        <v>344.44200000000001</v>
      </c>
      <c r="AI30" s="3" t="s">
        <v>139</v>
      </c>
    </row>
    <row r="32" spans="1:35" x14ac:dyDescent="0.35">
      <c r="A32" s="8" t="s">
        <v>140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spans="1:35" x14ac:dyDescent="0.35">
      <c r="A33" t="s">
        <v>141</v>
      </c>
      <c r="B33" t="s">
        <v>107</v>
      </c>
      <c r="C33" s="17">
        <f t="shared" ref="C33:C40" si="2">SUM(D33:AG33)</f>
        <v>6389.9641000000001</v>
      </c>
      <c r="D33" s="18">
        <v>312.22399999999999</v>
      </c>
      <c r="E33" s="18">
        <v>308.05500000000001</v>
      </c>
      <c r="F33" s="18">
        <v>512.11</v>
      </c>
      <c r="G33" s="18">
        <v>544.37300000000005</v>
      </c>
      <c r="H33" s="18">
        <v>476.67599999999999</v>
      </c>
      <c r="I33" s="18">
        <v>512.52700000000004</v>
      </c>
      <c r="J33" s="18">
        <v>368.65300000000002</v>
      </c>
      <c r="K33" s="18">
        <v>277.79000000000002</v>
      </c>
      <c r="L33" s="18">
        <v>266.34399999999999</v>
      </c>
      <c r="M33" s="18">
        <v>97.988799999999998</v>
      </c>
      <c r="N33" s="18">
        <v>87.737700000000004</v>
      </c>
      <c r="O33" s="18">
        <v>50.4343</v>
      </c>
      <c r="P33" s="18">
        <v>123.117</v>
      </c>
      <c r="Q33" s="18">
        <v>108.773</v>
      </c>
      <c r="R33" s="18">
        <v>80.966200000000001</v>
      </c>
      <c r="S33" s="18">
        <v>123.423</v>
      </c>
      <c r="T33" s="18">
        <v>260.63099999999997</v>
      </c>
      <c r="U33" s="18">
        <v>192.60499999999999</v>
      </c>
      <c r="V33" s="18">
        <v>136.874</v>
      </c>
      <c r="W33" s="18">
        <v>154.14500000000001</v>
      </c>
      <c r="X33" s="18">
        <v>117.083</v>
      </c>
      <c r="Y33" s="18">
        <v>44.4039</v>
      </c>
      <c r="Z33" s="18">
        <v>186.51599999999999</v>
      </c>
      <c r="AA33" s="18">
        <v>105.142</v>
      </c>
      <c r="AB33" s="18">
        <v>219.61600000000001</v>
      </c>
      <c r="AC33" s="18">
        <v>161.017</v>
      </c>
      <c r="AD33" s="18">
        <v>197.13900000000001</v>
      </c>
      <c r="AE33" s="18">
        <v>171.86099999999999</v>
      </c>
      <c r="AF33" s="18">
        <v>91.242199999999997</v>
      </c>
      <c r="AG33" s="18">
        <v>100.497</v>
      </c>
      <c r="AI33" s="3" t="s">
        <v>142</v>
      </c>
    </row>
    <row r="34" spans="1:35" x14ac:dyDescent="0.35">
      <c r="A34" t="s">
        <v>143</v>
      </c>
      <c r="B34" t="s">
        <v>107</v>
      </c>
      <c r="C34" s="17">
        <f t="shared" si="2"/>
        <v>6360.0130400000016</v>
      </c>
      <c r="D34" s="18">
        <v>21.782</v>
      </c>
      <c r="E34" s="18">
        <v>22.009899999999998</v>
      </c>
      <c r="F34" s="18">
        <v>1537.72</v>
      </c>
      <c r="G34" s="18">
        <v>1275.1300000000001</v>
      </c>
      <c r="H34" s="18">
        <v>1168.81</v>
      </c>
      <c r="I34" s="18">
        <v>748.61800000000005</v>
      </c>
      <c r="J34" s="18">
        <v>722.30100000000004</v>
      </c>
      <c r="K34" s="18">
        <v>674.90899999999999</v>
      </c>
      <c r="L34" s="18">
        <v>19.154399999999999</v>
      </c>
      <c r="M34" s="18">
        <v>25.188400000000001</v>
      </c>
      <c r="N34" s="18">
        <v>3.9747599999999998</v>
      </c>
      <c r="O34" s="18">
        <v>2.8343400000000001</v>
      </c>
      <c r="P34" s="18">
        <v>5.57768</v>
      </c>
      <c r="Q34" s="18">
        <v>3.6507299999999998</v>
      </c>
      <c r="R34" s="18">
        <v>13.077299999999999</v>
      </c>
      <c r="S34" s="18">
        <v>4.7277800000000001</v>
      </c>
      <c r="T34" s="18">
        <v>10.277799999999999</v>
      </c>
      <c r="U34" s="18">
        <v>7.2866499999999998</v>
      </c>
      <c r="V34" s="18">
        <v>4.5856500000000002</v>
      </c>
      <c r="W34" s="18">
        <v>14.834199999999999</v>
      </c>
      <c r="X34" s="18">
        <v>4.9913699999999999</v>
      </c>
      <c r="Y34" s="18">
        <v>3.1371699999999998</v>
      </c>
      <c r="Z34" s="18">
        <v>7.4769600000000001</v>
      </c>
      <c r="AA34" s="18">
        <v>5.2313499999999999</v>
      </c>
      <c r="AB34" s="18">
        <v>17.048400000000001</v>
      </c>
      <c r="AC34" s="18">
        <v>5.6867000000000001</v>
      </c>
      <c r="AD34" s="18">
        <v>6.4824400000000004</v>
      </c>
      <c r="AE34" s="18">
        <v>6.6241199999999996</v>
      </c>
      <c r="AF34" s="18">
        <v>3.7270400000000001</v>
      </c>
      <c r="AG34" s="18">
        <v>13.1579</v>
      </c>
      <c r="AI34" s="3" t="s">
        <v>144</v>
      </c>
    </row>
    <row r="35" spans="1:35" x14ac:dyDescent="0.35">
      <c r="A35" t="s">
        <v>145</v>
      </c>
      <c r="B35" t="s">
        <v>107</v>
      </c>
      <c r="C35" s="17">
        <f t="shared" si="2"/>
        <v>191.91229999999999</v>
      </c>
      <c r="D35" s="18">
        <v>22.290900000000001</v>
      </c>
      <c r="E35" s="18">
        <v>98.518799999999999</v>
      </c>
      <c r="F35" s="18">
        <v>71.102599999999995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I35" s="3" t="s">
        <v>146</v>
      </c>
    </row>
    <row r="36" spans="1:35" x14ac:dyDescent="0.35">
      <c r="A36" t="s">
        <v>147</v>
      </c>
      <c r="B36" t="s">
        <v>107</v>
      </c>
      <c r="C36" s="17">
        <f t="shared" si="2"/>
        <v>923.26931999999977</v>
      </c>
      <c r="D36" s="18">
        <v>96.146500000000003</v>
      </c>
      <c r="E36" s="18">
        <v>36.092100000000002</v>
      </c>
      <c r="F36" s="18">
        <v>172.411</v>
      </c>
      <c r="G36" s="18">
        <v>2.66079</v>
      </c>
      <c r="H36" s="18">
        <v>5.8192700000000004</v>
      </c>
      <c r="I36" s="18">
        <v>16.1112</v>
      </c>
      <c r="J36" s="18">
        <v>4.1477599999999999</v>
      </c>
      <c r="K36" s="18">
        <v>45.090899999999998</v>
      </c>
      <c r="L36" s="18">
        <v>4.3196599999999998</v>
      </c>
      <c r="M36" s="18">
        <v>52.720500000000001</v>
      </c>
      <c r="N36" s="18">
        <v>31.046299999999999</v>
      </c>
      <c r="O36" s="18">
        <v>31.9818</v>
      </c>
      <c r="P36" s="18">
        <v>42.725200000000001</v>
      </c>
      <c r="Q36" s="18">
        <v>2.6042999999999998</v>
      </c>
      <c r="R36" s="18">
        <v>18.901199999999999</v>
      </c>
      <c r="S36" s="18">
        <v>20.3977</v>
      </c>
      <c r="T36" s="18">
        <v>53.597000000000001</v>
      </c>
      <c r="U36" s="18">
        <v>31.475200000000001</v>
      </c>
      <c r="V36" s="18">
        <v>4.08819</v>
      </c>
      <c r="W36" s="18">
        <v>3.2037100000000001</v>
      </c>
      <c r="X36" s="18">
        <v>31.277799999999999</v>
      </c>
      <c r="Y36" s="18">
        <v>46.195399999999999</v>
      </c>
      <c r="Z36" s="18">
        <v>42.493699999999997</v>
      </c>
      <c r="AA36" s="18">
        <v>51.523200000000003</v>
      </c>
      <c r="AB36" s="18">
        <v>5.2180200000000001</v>
      </c>
      <c r="AC36" s="18">
        <v>13.959899999999999</v>
      </c>
      <c r="AD36" s="18">
        <v>4.1477599999999999</v>
      </c>
      <c r="AE36" s="18">
        <v>31.176300000000001</v>
      </c>
      <c r="AF36" s="18">
        <v>18.234300000000001</v>
      </c>
      <c r="AG36" s="18">
        <v>3.5026600000000001</v>
      </c>
      <c r="AI36" s="3" t="s">
        <v>148</v>
      </c>
    </row>
    <row r="37" spans="1:35" x14ac:dyDescent="0.35">
      <c r="A37" t="s">
        <v>149</v>
      </c>
      <c r="B37" t="s">
        <v>107</v>
      </c>
      <c r="C37" s="17">
        <f t="shared" si="2"/>
        <v>21.781500000000001</v>
      </c>
      <c r="D37" s="18">
        <v>4.3563000000000001</v>
      </c>
      <c r="E37" s="18">
        <v>4.3563000000000001</v>
      </c>
      <c r="F37" s="18">
        <v>4.3563000000000001</v>
      </c>
      <c r="G37" s="18">
        <v>4.3563000000000001</v>
      </c>
      <c r="H37" s="18">
        <v>4.3563000000000001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I37" s="3" t="s">
        <v>150</v>
      </c>
    </row>
    <row r="38" spans="1:35" x14ac:dyDescent="0.35">
      <c r="A38" t="s">
        <v>151</v>
      </c>
      <c r="B38" t="s">
        <v>107</v>
      </c>
      <c r="C38" s="17">
        <f t="shared" si="2"/>
        <v>445.82630999999998</v>
      </c>
      <c r="D38" s="18">
        <v>0</v>
      </c>
      <c r="E38" s="18">
        <v>0</v>
      </c>
      <c r="F38" s="18">
        <v>119.292</v>
      </c>
      <c r="G38" s="18">
        <v>46.5931</v>
      </c>
      <c r="H38" s="18">
        <v>124.246</v>
      </c>
      <c r="I38" s="18">
        <v>124.479</v>
      </c>
      <c r="J38" s="18">
        <v>3.9607100000000002</v>
      </c>
      <c r="K38" s="18">
        <v>27.255500000000001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I38" s="3" t="s">
        <v>152</v>
      </c>
    </row>
    <row r="39" spans="1:35" x14ac:dyDescent="0.35">
      <c r="A39" t="s">
        <v>153</v>
      </c>
      <c r="B39" t="s">
        <v>107</v>
      </c>
      <c r="C39" s="17">
        <f t="shared" si="2"/>
        <v>6.2022700000000004</v>
      </c>
      <c r="D39" s="18">
        <v>6.2022700000000004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I39" s="3" t="s">
        <v>154</v>
      </c>
    </row>
    <row r="40" spans="1:35" x14ac:dyDescent="0.35">
      <c r="A40" t="s">
        <v>155</v>
      </c>
      <c r="B40" t="s">
        <v>107</v>
      </c>
      <c r="C40" s="17">
        <f t="shared" si="2"/>
        <v>14338.962999999998</v>
      </c>
      <c r="D40" s="18">
        <v>463.00200000000001</v>
      </c>
      <c r="E40" s="18">
        <v>469.03199999999998</v>
      </c>
      <c r="F40" s="18">
        <v>2416.9899999999998</v>
      </c>
      <c r="G40" s="18">
        <v>1873.11</v>
      </c>
      <c r="H40" s="18">
        <v>1779.9</v>
      </c>
      <c r="I40" s="18">
        <v>1401.74</v>
      </c>
      <c r="J40" s="18">
        <v>1099.06</v>
      </c>
      <c r="K40" s="18">
        <v>1025.05</v>
      </c>
      <c r="L40" s="18">
        <v>289.81799999999998</v>
      </c>
      <c r="M40" s="18">
        <v>175.898</v>
      </c>
      <c r="N40" s="18">
        <v>122.759</v>
      </c>
      <c r="O40" s="18">
        <v>85.250500000000002</v>
      </c>
      <c r="P40" s="18">
        <v>171.42</v>
      </c>
      <c r="Q40" s="18">
        <v>115.02800000000001</v>
      </c>
      <c r="R40" s="18">
        <v>112.94499999999999</v>
      </c>
      <c r="S40" s="18">
        <v>148.548</v>
      </c>
      <c r="T40" s="18">
        <v>324.50599999999997</v>
      </c>
      <c r="U40" s="18">
        <v>231.36699999999999</v>
      </c>
      <c r="V40" s="18">
        <v>145.548</v>
      </c>
      <c r="W40" s="18">
        <v>172.18299999999999</v>
      </c>
      <c r="X40" s="18">
        <v>153.352</v>
      </c>
      <c r="Y40" s="18">
        <v>93.736500000000007</v>
      </c>
      <c r="Z40" s="18">
        <v>236.48699999999999</v>
      </c>
      <c r="AA40" s="18">
        <v>161.89599999999999</v>
      </c>
      <c r="AB40" s="18">
        <v>241.88200000000001</v>
      </c>
      <c r="AC40" s="18">
        <v>180.66300000000001</v>
      </c>
      <c r="AD40" s="18">
        <v>207.76900000000001</v>
      </c>
      <c r="AE40" s="18">
        <v>209.66200000000001</v>
      </c>
      <c r="AF40" s="18">
        <v>113.20399999999999</v>
      </c>
      <c r="AG40" s="18">
        <v>117.157</v>
      </c>
      <c r="AI40" s="3" t="s">
        <v>156</v>
      </c>
    </row>
    <row r="42" spans="1:35" x14ac:dyDescent="0.35">
      <c r="A42" s="8" t="s">
        <v>157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spans="1:35" x14ac:dyDescent="0.35">
      <c r="A43" t="s">
        <v>158</v>
      </c>
      <c r="B43" t="s">
        <v>107</v>
      </c>
      <c r="C43" s="17">
        <f>SUM(D43:AG43)</f>
        <v>-2.9999999998153726E-4</v>
      </c>
      <c r="D43" s="18">
        <v>37.810899999999997</v>
      </c>
      <c r="E43" s="18">
        <v>46.762</v>
      </c>
      <c r="F43" s="18">
        <v>16.160799999999998</v>
      </c>
      <c r="G43" s="18">
        <v>21.397600000000001</v>
      </c>
      <c r="H43" s="18">
        <v>7.5956000000000001</v>
      </c>
      <c r="I43" s="18">
        <v>8.8569399999999998</v>
      </c>
      <c r="J43" s="18">
        <v>6.9343700000000004</v>
      </c>
      <c r="K43" s="18">
        <v>6.8304400000000003</v>
      </c>
      <c r="L43" s="18">
        <v>14.8345</v>
      </c>
      <c r="M43" s="18">
        <v>7.4188900000000002</v>
      </c>
      <c r="N43" s="18">
        <v>4.9394299999999998</v>
      </c>
      <c r="O43" s="18">
        <v>5.1443199999999996</v>
      </c>
      <c r="P43" s="18">
        <v>5.22715</v>
      </c>
      <c r="Q43" s="18">
        <v>5.4238099999999996</v>
      </c>
      <c r="R43" s="18">
        <v>2.9250099999999999</v>
      </c>
      <c r="S43" s="18">
        <v>5.5873600000000003</v>
      </c>
      <c r="T43" s="18">
        <v>5.8026900000000001</v>
      </c>
      <c r="U43" s="18">
        <v>6.0696899999999996</v>
      </c>
      <c r="V43" s="18">
        <v>6.1117299999999997</v>
      </c>
      <c r="W43" s="18">
        <v>6.1196299999999999</v>
      </c>
      <c r="X43" s="18">
        <v>6.2668299999999997</v>
      </c>
      <c r="Y43" s="18">
        <v>6.4314</v>
      </c>
      <c r="Z43" s="18">
        <v>6.4093900000000001</v>
      </c>
      <c r="AA43" s="18">
        <v>6.8712200000000001</v>
      </c>
      <c r="AB43" s="18">
        <v>6.8772200000000003</v>
      </c>
      <c r="AC43" s="18">
        <v>7.3275600000000001</v>
      </c>
      <c r="AD43" s="18">
        <v>7.4952300000000003</v>
      </c>
      <c r="AE43" s="18">
        <v>8.0391700000000004</v>
      </c>
      <c r="AF43" s="18">
        <v>8.8418200000000002</v>
      </c>
      <c r="AG43" s="18">
        <v>-292.51299999999998</v>
      </c>
      <c r="AI43" s="3" t="s">
        <v>159</v>
      </c>
    </row>
    <row r="44" spans="1:35" x14ac:dyDescent="0.35">
      <c r="A44" t="s">
        <v>160</v>
      </c>
      <c r="B44" t="s">
        <v>107</v>
      </c>
      <c r="C44" s="17">
        <f>SUM(D44:AG44)</f>
        <v>14338.94838</v>
      </c>
      <c r="D44" s="18">
        <v>0</v>
      </c>
      <c r="E44" s="18">
        <v>4.0048000000000004</v>
      </c>
      <c r="F44" s="18">
        <v>9.9295799999999996</v>
      </c>
      <c r="G44" s="18">
        <v>44.551099999999998</v>
      </c>
      <c r="H44" s="18">
        <v>76.451899999999995</v>
      </c>
      <c r="I44" s="18">
        <v>113.312</v>
      </c>
      <c r="J44" s="18">
        <v>147.90600000000001</v>
      </c>
      <c r="K44" s="18">
        <v>181.5</v>
      </c>
      <c r="L44" s="18">
        <v>227.279</v>
      </c>
      <c r="M44" s="18">
        <v>252.01400000000001</v>
      </c>
      <c r="N44" s="18">
        <v>272.33</v>
      </c>
      <c r="O44" s="18">
        <v>292.76499999999999</v>
      </c>
      <c r="P44" s="18">
        <v>313.572</v>
      </c>
      <c r="Q44" s="18">
        <v>338.99200000000002</v>
      </c>
      <c r="R44" s="18">
        <v>359.803</v>
      </c>
      <c r="S44" s="18">
        <v>386.74799999999999</v>
      </c>
      <c r="T44" s="18">
        <v>417.47300000000001</v>
      </c>
      <c r="U44" s="18">
        <v>460.13299999999998</v>
      </c>
      <c r="V44" s="18">
        <v>501.75200000000001</v>
      </c>
      <c r="W44" s="18">
        <v>541.697</v>
      </c>
      <c r="X44" s="18">
        <v>587.22</v>
      </c>
      <c r="Y44" s="18">
        <v>635.53399999999999</v>
      </c>
      <c r="Z44" s="18">
        <v>682.58100000000002</v>
      </c>
      <c r="AA44" s="18">
        <v>750.97299999999996</v>
      </c>
      <c r="AB44" s="18">
        <v>818.11599999999999</v>
      </c>
      <c r="AC44" s="18">
        <v>908.67100000000005</v>
      </c>
      <c r="AD44" s="18">
        <v>1002.48</v>
      </c>
      <c r="AE44" s="18">
        <v>1125.32</v>
      </c>
      <c r="AF44" s="18">
        <v>1291.26</v>
      </c>
      <c r="AG44" s="18">
        <v>1594.58</v>
      </c>
      <c r="AI44" s="3" t="s">
        <v>161</v>
      </c>
    </row>
    <row r="45" spans="1:35" x14ac:dyDescent="0.35">
      <c r="A45" t="s">
        <v>162</v>
      </c>
      <c r="B45" t="s">
        <v>107</v>
      </c>
      <c r="C45" s="17">
        <f>SUM(D45:AG45)</f>
        <v>12961.107499999998</v>
      </c>
      <c r="D45" s="18">
        <v>86.475499999999997</v>
      </c>
      <c r="E45" s="18">
        <v>244.57499999999999</v>
      </c>
      <c r="F45" s="18">
        <v>292.78199999999998</v>
      </c>
      <c r="G45" s="18">
        <v>350.24400000000003</v>
      </c>
      <c r="H45" s="18">
        <v>361.17</v>
      </c>
      <c r="I45" s="18">
        <v>375.36200000000002</v>
      </c>
      <c r="J45" s="18">
        <v>383.916</v>
      </c>
      <c r="K45" s="18">
        <v>391.98399999999998</v>
      </c>
      <c r="L45" s="18">
        <v>426.77499999999998</v>
      </c>
      <c r="M45" s="18">
        <v>442.30500000000001</v>
      </c>
      <c r="N45" s="18">
        <v>450.846</v>
      </c>
      <c r="O45" s="18">
        <v>460.46600000000001</v>
      </c>
      <c r="P45" s="18">
        <v>469.97699999999998</v>
      </c>
      <c r="Q45" s="18">
        <v>478.327</v>
      </c>
      <c r="R45" s="18">
        <v>479.81200000000001</v>
      </c>
      <c r="S45" s="18">
        <v>487.87200000000001</v>
      </c>
      <c r="T45" s="18">
        <v>495.54300000000001</v>
      </c>
      <c r="U45" s="18">
        <v>499.142</v>
      </c>
      <c r="V45" s="18">
        <v>503.303</v>
      </c>
      <c r="W45" s="18">
        <v>508.07</v>
      </c>
      <c r="X45" s="18">
        <v>511.024</v>
      </c>
      <c r="Y45" s="18">
        <v>513.78300000000002</v>
      </c>
      <c r="Z45" s="18">
        <v>516.72199999999998</v>
      </c>
      <c r="AA45" s="18">
        <v>512.51700000000005</v>
      </c>
      <c r="AB45" s="18">
        <v>508.93599999999998</v>
      </c>
      <c r="AC45" s="18">
        <v>497.24299999999999</v>
      </c>
      <c r="AD45" s="18">
        <v>485.221</v>
      </c>
      <c r="AE45" s="18">
        <v>463.10700000000003</v>
      </c>
      <c r="AF45" s="18">
        <v>426.07400000000001</v>
      </c>
      <c r="AG45" s="18">
        <v>337.53399999999999</v>
      </c>
      <c r="AI45" s="3" t="s">
        <v>163</v>
      </c>
    </row>
    <row r="46" spans="1:35" x14ac:dyDescent="0.35">
      <c r="A46" t="s">
        <v>164</v>
      </c>
      <c r="B46" t="s">
        <v>107</v>
      </c>
      <c r="C46" s="17">
        <f>SUM(D46:AG46)</f>
        <v>25160.403200000001</v>
      </c>
      <c r="D46" s="18">
        <v>-332.91699999999997</v>
      </c>
      <c r="E46" s="18">
        <v>-36.995399999999997</v>
      </c>
      <c r="F46" s="18">
        <v>-1854.85</v>
      </c>
      <c r="G46" s="18">
        <v>-1170.05</v>
      </c>
      <c r="H46" s="18">
        <v>-1009.93</v>
      </c>
      <c r="I46" s="18">
        <v>-568.60900000000004</v>
      </c>
      <c r="J46" s="18">
        <v>-212.816</v>
      </c>
      <c r="K46" s="18">
        <v>-89.440399999999997</v>
      </c>
      <c r="L46" s="18">
        <v>751.09799999999996</v>
      </c>
      <c r="M46" s="18">
        <v>927.31299999999999</v>
      </c>
      <c r="N46" s="18">
        <v>1019.83</v>
      </c>
      <c r="O46" s="18">
        <v>1096.24</v>
      </c>
      <c r="P46" s="18">
        <v>1049.25</v>
      </c>
      <c r="Q46" s="18">
        <v>1147.08</v>
      </c>
      <c r="R46" s="18">
        <v>1175.3499999999999</v>
      </c>
      <c r="S46" s="18">
        <v>1179.68</v>
      </c>
      <c r="T46" s="18">
        <v>1049.1199999999999</v>
      </c>
      <c r="U46" s="18">
        <v>1191.6400000000001</v>
      </c>
      <c r="V46" s="18">
        <v>1327.11</v>
      </c>
      <c r="W46" s="18">
        <v>1349.66</v>
      </c>
      <c r="X46" s="18">
        <v>1419.6</v>
      </c>
      <c r="Y46" s="18">
        <v>1532.73</v>
      </c>
      <c r="Z46" s="18">
        <v>1442.75</v>
      </c>
      <c r="AA46" s="18">
        <v>1577.11</v>
      </c>
      <c r="AB46" s="18">
        <v>1412.88</v>
      </c>
      <c r="AC46" s="18">
        <v>1538.3</v>
      </c>
      <c r="AD46" s="18">
        <v>1578.28</v>
      </c>
      <c r="AE46" s="18">
        <v>1652.52</v>
      </c>
      <c r="AF46" s="18">
        <v>1838.97</v>
      </c>
      <c r="AG46" s="18">
        <v>3179.5</v>
      </c>
      <c r="AI46" s="3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6"/>
  <sheetViews>
    <sheetView zoomScale="74" workbookViewId="0">
      <pane xSplit="3" ySplit="4" topLeftCell="D5" activePane="bottomRight" state="frozen"/>
      <selection pane="topRight"/>
      <selection pane="bottomLeft"/>
      <selection pane="bottomRight" activeCell="E22" sqref="E22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</cols>
  <sheetData>
    <row r="1" spans="1:33" ht="18.5" x14ac:dyDescent="0.45">
      <c r="A1" s="1" t="s">
        <v>19</v>
      </c>
    </row>
    <row r="2" spans="1:33" x14ac:dyDescent="0.35">
      <c r="A2" s="3" t="s">
        <v>166</v>
      </c>
    </row>
    <row r="4" spans="1:33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</row>
    <row r="5" spans="1:33" x14ac:dyDescent="0.35">
      <c r="A5" s="8" t="s">
        <v>167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35">
      <c r="A6" t="s">
        <v>168</v>
      </c>
      <c r="B6" t="s">
        <v>94</v>
      </c>
      <c r="D6" s="15">
        <f>Dados_MEF!D6</f>
        <v>111.19199999999999</v>
      </c>
      <c r="E6" s="15">
        <f>Dados_MEF!E6</f>
        <v>192.654</v>
      </c>
      <c r="F6" s="15">
        <f>Dados_MEF!F6</f>
        <v>194.02</v>
      </c>
      <c r="G6" s="15">
        <f>Dados_MEF!G6</f>
        <v>194.82599999999999</v>
      </c>
      <c r="H6" s="15">
        <f>Dados_MEF!H6</f>
        <v>198.41200000000001</v>
      </c>
      <c r="I6" s="15">
        <f>Dados_MEF!I6</f>
        <v>202.27600000000001</v>
      </c>
      <c r="J6" s="15">
        <f>Dados_MEF!J6</f>
        <v>206.255</v>
      </c>
      <c r="K6" s="15">
        <f>Dados_MEF!K6</f>
        <v>210.46</v>
      </c>
      <c r="L6" s="15">
        <f>Dados_MEF!L6</f>
        <v>213.73400000000001</v>
      </c>
      <c r="M6" s="15">
        <f>Dados_MEF!M6</f>
        <v>219.22399999999999</v>
      </c>
      <c r="N6" s="15">
        <f>Dados_MEF!N6</f>
        <v>224.89</v>
      </c>
      <c r="O6" s="15">
        <f>Dados_MEF!O6</f>
        <v>230.71700000000001</v>
      </c>
      <c r="P6" s="15">
        <f>Dados_MEF!P6</f>
        <v>236.68799999999999</v>
      </c>
      <c r="Q6" s="15">
        <f>Dados_MEF!Q6</f>
        <v>242.78700000000001</v>
      </c>
      <c r="R6" s="15">
        <f>Dados_MEF!R6</f>
        <v>249</v>
      </c>
      <c r="S6" s="15">
        <f>Dados_MEF!S6</f>
        <v>255.31399999999999</v>
      </c>
      <c r="T6" s="15">
        <f>Dados_MEF!T6</f>
        <v>261.72000000000003</v>
      </c>
      <c r="U6" s="15">
        <f>Dados_MEF!U6</f>
        <v>268.20999999999998</v>
      </c>
      <c r="V6" s="15">
        <f>Dados_MEF!V6</f>
        <v>274.77600000000001</v>
      </c>
      <c r="W6" s="15">
        <f>Dados_MEF!W6</f>
        <v>281.411</v>
      </c>
      <c r="X6" s="15">
        <f>Dados_MEF!X6</f>
        <v>288.11</v>
      </c>
      <c r="Y6" s="15">
        <f>Dados_MEF!Y6</f>
        <v>294.86700000000002</v>
      </c>
      <c r="Z6" s="15">
        <f>Dados_MEF!Z6</f>
        <v>301.68099999999998</v>
      </c>
      <c r="AA6" s="15">
        <f>Dados_MEF!AA6</f>
        <v>308.548</v>
      </c>
      <c r="AB6" s="15">
        <f>Dados_MEF!AB6</f>
        <v>315.46600000000001</v>
      </c>
      <c r="AC6" s="15">
        <f>Dados_MEF!AC6</f>
        <v>322.43200000000002</v>
      </c>
      <c r="AD6" s="15">
        <f>Dados_MEF!AD6</f>
        <v>329.44</v>
      </c>
      <c r="AE6" s="15">
        <f>Dados_MEF!AE6</f>
        <v>336.48500000000001</v>
      </c>
      <c r="AF6" s="15">
        <f>Dados_MEF!AF6</f>
        <v>343.56299999999999</v>
      </c>
      <c r="AG6" s="15">
        <f>Dados_MEF!AG6</f>
        <v>350.67099999999999</v>
      </c>
    </row>
    <row r="7" spans="1:33" x14ac:dyDescent="0.35">
      <c r="A7" t="s">
        <v>169</v>
      </c>
      <c r="B7" t="s">
        <v>170</v>
      </c>
      <c r="D7" s="15">
        <f>Dados_MEF!D13/Dados_MEF!D6</f>
        <v>3.9831462695157929</v>
      </c>
      <c r="E7" s="15">
        <f>Dados_MEF!E13/Dados_MEF!E6</f>
        <v>4.7447704174322887</v>
      </c>
      <c r="F7" s="15">
        <f>Dados_MEF!F13/Dados_MEF!F6</f>
        <v>5.6378723842902785</v>
      </c>
      <c r="G7" s="15">
        <f>Dados_MEF!G13/Dados_MEF!G6</f>
        <v>6.7749171055197976</v>
      </c>
      <c r="H7" s="15">
        <f>Dados_MEF!H13/Dados_MEF!H6</f>
        <v>7.1058202124871483</v>
      </c>
      <c r="I7" s="15">
        <f>Dados_MEF!I13/Dados_MEF!I6</f>
        <v>7.4741442385651284</v>
      </c>
      <c r="J7" s="15">
        <f>Dados_MEF!J13/Dados_MEF!J6</f>
        <v>7.7370245569804368</v>
      </c>
      <c r="K7" s="15">
        <f>Dados_MEF!K13/Dados_MEF!K6</f>
        <v>7.9882638030979756</v>
      </c>
      <c r="L7" s="15">
        <f>Dados_MEF!L13/Dados_MEF!L6</f>
        <v>8.6254877558086207</v>
      </c>
      <c r="M7" s="15">
        <f>Dados_MEF!M13/Dados_MEF!M6</f>
        <v>8.7147392621245849</v>
      </c>
      <c r="N7" s="15">
        <f>Dados_MEF!N13/Dados_MEF!N6</f>
        <v>8.7157721552759124</v>
      </c>
      <c r="O7" s="15">
        <f>Dados_MEF!O13/Dados_MEF!O6</f>
        <v>8.7167395553860345</v>
      </c>
      <c r="P7" s="15">
        <f>Dados_MEF!P13/Dados_MEF!P6</f>
        <v>8.7177634692084087</v>
      </c>
      <c r="Q7" s="15">
        <f>Dados_MEF!Q13/Dados_MEF!Q6</f>
        <v>8.7187122869016864</v>
      </c>
      <c r="R7" s="15">
        <f>Dados_MEF!R13/Dados_MEF!R6</f>
        <v>8.7196385542168677</v>
      </c>
      <c r="S7" s="15">
        <f>Dados_MEF!S13/Dados_MEF!S6</f>
        <v>8.720595031999812</v>
      </c>
      <c r="T7" s="15">
        <f>Dados_MEF!T13/Dados_MEF!T6</f>
        <v>8.7214962555402717</v>
      </c>
      <c r="U7" s="15">
        <f>Dados_MEF!U13/Dados_MEF!U6</f>
        <v>8.7224190000372843</v>
      </c>
      <c r="V7" s="15">
        <f>Dados_MEF!V13/Dados_MEF!V6</f>
        <v>8.7232873322269775</v>
      </c>
      <c r="W7" s="15">
        <f>Dados_MEF!W13/Dados_MEF!W6</f>
        <v>8.7241792254034127</v>
      </c>
      <c r="X7" s="15">
        <f>Dados_MEF!X13/Dados_MEF!X6</f>
        <v>8.7250355766894589</v>
      </c>
      <c r="Y7" s="15">
        <f>Dados_MEF!Y13/Dados_MEF!Y6</f>
        <v>8.7259340651887101</v>
      </c>
      <c r="Z7" s="15">
        <f>Dados_MEF!Z13/Dados_MEF!Z6</f>
        <v>8.7267676784417976</v>
      </c>
      <c r="AA7" s="15">
        <f>Dados_MEF!AA13/Dados_MEF!AA6</f>
        <v>8.8163592050507535</v>
      </c>
      <c r="AB7" s="15">
        <f>Dados_MEF!AB13/Dados_MEF!AB6</f>
        <v>8.8171783964040493</v>
      </c>
      <c r="AC7" s="15">
        <f>Dados_MEF!AC13/Dados_MEF!AC6</f>
        <v>8.818014341008336</v>
      </c>
      <c r="AD7" s="15">
        <f>Dados_MEF!AD13/Dados_MEF!AD6</f>
        <v>8.8188137445361825</v>
      </c>
      <c r="AE7" s="15">
        <f>Dados_MEF!AE13/Dados_MEF!AE6</f>
        <v>8.8196502072900707</v>
      </c>
      <c r="AF7" s="15">
        <f>Dados_MEF!AF13/Dados_MEF!AF6</f>
        <v>8.8204492334739193</v>
      </c>
      <c r="AG7" s="15">
        <f>Dados_MEF!AG13/Dados_MEF!AG6</f>
        <v>8.8212312965714297</v>
      </c>
    </row>
    <row r="8" spans="1:33" x14ac:dyDescent="0.35">
      <c r="A8" t="s">
        <v>171</v>
      </c>
      <c r="B8" t="s">
        <v>61</v>
      </c>
      <c r="D8" s="15">
        <f>(1-'1. Premissas'!$B$6)*'2. Cenários'!$E$5</f>
        <v>0.74713112178551411</v>
      </c>
      <c r="E8" s="15">
        <f>(1-'1. Premissas'!$B$6)*'2. Cenários'!$E$5</f>
        <v>0.74713112178551411</v>
      </c>
      <c r="F8" s="15">
        <f>(1-'1. Premissas'!$B$6)*'2. Cenários'!$E$5</f>
        <v>0.74713112178551411</v>
      </c>
      <c r="G8" s="15">
        <f>(1-'1. Premissas'!$B$6)*'2. Cenários'!$E$5</f>
        <v>0.74713112178551411</v>
      </c>
      <c r="H8" s="15">
        <f>(1-'1. Premissas'!$B$6)*'2. Cenários'!$E$5</f>
        <v>0.74713112178551411</v>
      </c>
      <c r="I8" s="15">
        <f>(1-'1. Premissas'!$B$6)*'2. Cenários'!$E$5</f>
        <v>0.74713112178551411</v>
      </c>
      <c r="J8" s="15">
        <f>(1-'1. Premissas'!$B$6)*'2. Cenários'!$E$5</f>
        <v>0.74713112178551411</v>
      </c>
      <c r="K8" s="15">
        <f>(1-'1. Premissas'!$B$6)*'2. Cenários'!$E$5</f>
        <v>0.74713112178551411</v>
      </c>
      <c r="L8" s="15">
        <f>(1-'1. Premissas'!$B$6)*'2. Cenários'!$E$5</f>
        <v>0.74713112178551411</v>
      </c>
      <c r="M8" s="15">
        <f>(1-'1. Premissas'!$B$6)*'2. Cenários'!$E$5</f>
        <v>0.74713112178551411</v>
      </c>
      <c r="N8" s="15">
        <f>(1-'1. Premissas'!$B$6)*'2. Cenários'!$E$5</f>
        <v>0.74713112178551411</v>
      </c>
      <c r="O8" s="15">
        <f>(1-'1. Premissas'!$B$6)*'2. Cenários'!$E$5</f>
        <v>0.74713112178551411</v>
      </c>
      <c r="P8" s="15">
        <f>(1-'1. Premissas'!$B$6)*'2. Cenários'!$E$5</f>
        <v>0.74713112178551411</v>
      </c>
      <c r="Q8" s="15">
        <f>(1-'1. Premissas'!$B$6)*'2. Cenários'!$E$5</f>
        <v>0.74713112178551411</v>
      </c>
      <c r="R8" s="15">
        <f>(1-'1. Premissas'!$B$6)*'2. Cenários'!$E$5</f>
        <v>0.74713112178551411</v>
      </c>
      <c r="S8" s="15">
        <f>(1-'1. Premissas'!$B$6)*'2. Cenários'!$E$5</f>
        <v>0.74713112178551411</v>
      </c>
      <c r="T8" s="15">
        <f>(1-'1. Premissas'!$B$6)*'2. Cenários'!$E$5</f>
        <v>0.74713112178551411</v>
      </c>
      <c r="U8" s="15">
        <f>(1-'1. Premissas'!$B$6)*'2. Cenários'!$E$5</f>
        <v>0.74713112178551411</v>
      </c>
      <c r="V8" s="15">
        <f>(1-'1. Premissas'!$B$6)*'2. Cenários'!$E$5</f>
        <v>0.74713112178551411</v>
      </c>
      <c r="W8" s="15">
        <f>(1-'1. Premissas'!$B$6)*'2. Cenários'!$E$5</f>
        <v>0.74713112178551411</v>
      </c>
      <c r="X8" s="15">
        <f>(1-'1. Premissas'!$B$6)*'2. Cenários'!$E$5</f>
        <v>0.74713112178551411</v>
      </c>
      <c r="Y8" s="15">
        <f>(1-'1. Premissas'!$B$6)*'2. Cenários'!$E$5</f>
        <v>0.74713112178551411</v>
      </c>
      <c r="Z8" s="15">
        <f>(1-'1. Premissas'!$B$6)*'2. Cenários'!$E$5</f>
        <v>0.74713112178551411</v>
      </c>
      <c r="AA8" s="15">
        <f>(1-'1. Premissas'!$B$6)*'2. Cenários'!$E$5</f>
        <v>0.74713112178551411</v>
      </c>
      <c r="AB8" s="15">
        <f>(1-'1. Premissas'!$B$6)*'2. Cenários'!$E$5</f>
        <v>0.74713112178551411</v>
      </c>
      <c r="AC8" s="15">
        <f>(1-'1. Premissas'!$B$6)*'2. Cenários'!$E$5</f>
        <v>0.74713112178551411</v>
      </c>
      <c r="AD8" s="15">
        <f>(1-'1. Premissas'!$B$6)*'2. Cenários'!$E$5</f>
        <v>0.74713112178551411</v>
      </c>
      <c r="AE8" s="15">
        <f>(1-'1. Premissas'!$B$6)*'2. Cenários'!$E$5</f>
        <v>0.74713112178551411</v>
      </c>
      <c r="AF8" s="15">
        <f>(1-'1. Premissas'!$B$6)*'2. Cenários'!$E$5</f>
        <v>0.74713112178551411</v>
      </c>
      <c r="AG8" s="15">
        <f>(1-'1. Premissas'!$B$6)*'2. Cenários'!$E$5</f>
        <v>0.74713112178551411</v>
      </c>
    </row>
    <row r="9" spans="1:33" x14ac:dyDescent="0.35">
      <c r="A9" s="8" t="s">
        <v>172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x14ac:dyDescent="0.35">
      <c r="A10" t="s">
        <v>106</v>
      </c>
      <c r="B10" t="s">
        <v>107</v>
      </c>
      <c r="D10" s="15">
        <f>Dados_MEF!D13*D$8</f>
        <v>330.89989105207349</v>
      </c>
      <c r="E10" s="15">
        <f>Dados_MEF!E13*E$8</f>
        <v>682.9518112930167</v>
      </c>
      <c r="F10" s="15">
        <f>Dados_MEF!F13*F$8</f>
        <v>817.25684887630234</v>
      </c>
      <c r="G10" s="15">
        <f>Dados_MEF!G13*G$8</f>
        <v>986.16078157835364</v>
      </c>
      <c r="H10" s="15">
        <f>Dados_MEF!H13*H$8</f>
        <v>1053.3652259829607</v>
      </c>
      <c r="I10" s="15">
        <f>Dados_MEF!I13*I$8</f>
        <v>1129.5427151602116</v>
      </c>
      <c r="J10" s="15">
        <f>Dados_MEF!J13*J$8</f>
        <v>1192.2718441453235</v>
      </c>
      <c r="K10" s="15">
        <f>Dados_MEF!K13*K$8</f>
        <v>1256.0843132570242</v>
      </c>
      <c r="L10" s="15">
        <f>Dados_MEF!L13*L$8</f>
        <v>1377.3810508789024</v>
      </c>
      <c r="M10" s="15">
        <f>Dados_MEF!M13*M$8</f>
        <v>1427.379065548789</v>
      </c>
      <c r="N10" s="15">
        <f>Dados_MEF!N13*N$8</f>
        <v>1464.4442405005682</v>
      </c>
      <c r="O10" s="15">
        <f>Dados_MEF!O13*O$8</f>
        <v>1502.5553990228473</v>
      </c>
      <c r="P10" s="15">
        <f>Dados_MEF!P13*P$8</f>
        <v>1541.6228853810119</v>
      </c>
      <c r="Q10" s="15">
        <f>Dados_MEF!Q13*Q$8</f>
        <v>1581.5196872843583</v>
      </c>
      <c r="R10" s="15">
        <f>Dados_MEF!R13*R$8</f>
        <v>1622.1636203094904</v>
      </c>
      <c r="S10" s="15">
        <f>Dados_MEF!S13*S$8</f>
        <v>1663.4799713442292</v>
      </c>
      <c r="T10" s="15">
        <f>Dados_MEF!T13*T$8</f>
        <v>1705.3940272763969</v>
      </c>
      <c r="U10" s="15">
        <f>Dados_MEF!U13*U$8</f>
        <v>1747.8684315499031</v>
      </c>
      <c r="V10" s="15">
        <f>Dados_MEF!V13*V$8</f>
        <v>1790.8359423637878</v>
      </c>
      <c r="W10" s="15">
        <f>Dados_MEF!W13*W$8</f>
        <v>1834.2666744731798</v>
      </c>
      <c r="X10" s="15">
        <f>Dados_MEF!X13*X$8</f>
        <v>1878.1158000107719</v>
      </c>
      <c r="Y10" s="15">
        <f>Dados_MEF!Y13*Y$8</f>
        <v>1922.3609050429097</v>
      </c>
      <c r="Z10" s="15">
        <f>Dados_MEF!Z13*Z$8</f>
        <v>1966.9721043247227</v>
      </c>
      <c r="AA10" s="15">
        <f>Dados_MEF!AA13*AA$8</f>
        <v>2032.3983766594804</v>
      </c>
      <c r="AB10" s="15">
        <f>Dados_MEF!AB13*AB$8</f>
        <v>2078.1601578688433</v>
      </c>
      <c r="AC10" s="15">
        <f>Dados_MEF!AC13*AC$8</f>
        <v>2124.2506767717914</v>
      </c>
      <c r="AD10" s="15">
        <f>Dados_MEF!AD13*AD$8</f>
        <v>2170.6176341898004</v>
      </c>
      <c r="AE10" s="15">
        <f>Dados_MEF!AE13*AE$8</f>
        <v>2217.2460875004344</v>
      </c>
      <c r="AF10" s="15">
        <f>Dados_MEF!AF13*AF$8</f>
        <v>2264.0912088363862</v>
      </c>
      <c r="AG10" s="15">
        <f>Dados_MEF!AG13*AG$8</f>
        <v>2311.1380555752198</v>
      </c>
    </row>
    <row r="11" spans="1:33" x14ac:dyDescent="0.35">
      <c r="A11" t="s">
        <v>173</v>
      </c>
      <c r="B11" t="s">
        <v>107</v>
      </c>
      <c r="D11" s="15">
        <f>(Dados_MEF!D14+Dados_MEF!D15)*D$8</f>
        <v>9.3142446133410335</v>
      </c>
      <c r="E11" s="15">
        <f>(Dados_MEF!E14+Dados_MEF!E15)*E$8</f>
        <v>17.517251224005602</v>
      </c>
      <c r="F11" s="15">
        <f>(Dados_MEF!F14+Dados_MEF!F15)*F$8</f>
        <v>18.991848976451234</v>
      </c>
      <c r="G11" s="15">
        <f>(Dados_MEF!G14+Dados_MEF!G15)*G$8</f>
        <v>20.641290354017112</v>
      </c>
      <c r="H11" s="15">
        <f>(Dados_MEF!H14+Dados_MEF!H15)*H$8</f>
        <v>19.74929050771739</v>
      </c>
      <c r="I11" s="15">
        <f>(Dados_MEF!I14+Dados_MEF!I15)*I$8</f>
        <v>18.782054557453861</v>
      </c>
      <c r="J11" s="15">
        <f>(Dados_MEF!J14+Dados_MEF!J15)*J$8</f>
        <v>17.395752760980841</v>
      </c>
      <c r="K11" s="15">
        <f>(Dados_MEF!K14+Dados_MEF!K15)*K$8</f>
        <v>15.827898101913936</v>
      </c>
      <c r="L11" s="15">
        <f>(Dados_MEF!L14+Dados_MEF!L15)*L$8</f>
        <v>14.663658617458006</v>
      </c>
      <c r="M11" s="15">
        <f>(Dados_MEF!M14+Dados_MEF!M15)*M$8</f>
        <v>12.50873820813692</v>
      </c>
      <c r="N11" s="15">
        <f>(Dados_MEF!N14+Dados_MEF!N15)*N$8</f>
        <v>12.815047025446544</v>
      </c>
      <c r="O11" s="15">
        <f>(Dados_MEF!O14+Dados_MEF!O15)*O$8</f>
        <v>13.131763379282644</v>
      </c>
      <c r="P11" s="15">
        <f>(Dados_MEF!P14+Dados_MEF!P15)*P$8</f>
        <v>13.457520019692343</v>
      </c>
      <c r="Q11" s="15">
        <f>(Dados_MEF!Q14+Dados_MEF!Q15)*Q$8</f>
        <v>13.79112900819201</v>
      </c>
      <c r="R11" s="15">
        <f>(Dados_MEF!R14+Dados_MEF!R15)*R$8</f>
        <v>14.131551832522364</v>
      </c>
      <c r="S11" s="15">
        <f>(Dados_MEF!S14+Dados_MEF!S15)*S$8</f>
        <v>14.47798159107187</v>
      </c>
      <c r="T11" s="15">
        <f>(Dados_MEF!T14+Dados_MEF!T15)*T$8</f>
        <v>14.829820578943108</v>
      </c>
      <c r="U11" s="15">
        <f>(Dados_MEF!U14+Dados_MEF!U15)*U$8</f>
        <v>15.186642931396651</v>
      </c>
      <c r="V11" s="15">
        <f>(Dados_MEF!V14+Dados_MEF!V15)*V$8</f>
        <v>15.547806115667765</v>
      </c>
      <c r="W11" s="15">
        <f>(Dados_MEF!W14+Dados_MEF!W15)*W$8</f>
        <v>15.912914152261912</v>
      </c>
      <c r="X11" s="15">
        <f>(Dados_MEF!X14+Dados_MEF!X15)*X$8</f>
        <v>16.281690602664021</v>
      </c>
      <c r="Y11" s="15">
        <f>(Dados_MEF!Y14+Dados_MEF!Y15)*Y$8</f>
        <v>16.653873970981479</v>
      </c>
      <c r="Z11" s="15">
        <f>(Dados_MEF!Z14+Dados_MEF!Z15)*Z$8</f>
        <v>17.029165404765561</v>
      </c>
      <c r="AA11" s="15">
        <f>(Dados_MEF!AA14+Dados_MEF!AA15)*AA$8</f>
        <v>13.828956256888015</v>
      </c>
      <c r="AB11" s="15">
        <f>(Dados_MEF!AB14+Dados_MEF!AB15)*AB$8</f>
        <v>14.129639176850594</v>
      </c>
      <c r="AC11" s="15">
        <f>(Dados_MEF!AC14+Dados_MEF!AC15)*AC$8</f>
        <v>14.432376707398085</v>
      </c>
      <c r="AD11" s="15">
        <f>(Dados_MEF!AD14+Dados_MEF!AD15)*AD$8</f>
        <v>14.736944709193949</v>
      </c>
      <c r="AE11" s="15">
        <f>(Dados_MEF!AE14+Dados_MEF!AE15)*AE$8</f>
        <v>15.043104100279216</v>
      </c>
      <c r="AF11" s="15">
        <f>(Dados_MEF!AF14+Dados_MEF!AF15)*AF$8</f>
        <v>15.350638212628569</v>
      </c>
      <c r="AG11" s="15">
        <f>(Dados_MEF!AG14+Dados_MEF!AG15)*AG$8</f>
        <v>15.659405091328868</v>
      </c>
    </row>
    <row r="12" spans="1:33" x14ac:dyDescent="0.35">
      <c r="A12" t="s">
        <v>174</v>
      </c>
      <c r="B12" t="s">
        <v>107</v>
      </c>
      <c r="D12" s="15">
        <f>Dados_MEF!D16*D$8</f>
        <v>37.876708776262781</v>
      </c>
      <c r="E12" s="15">
        <f>Dados_MEF!E16*E$8</f>
        <v>68.928001189453994</v>
      </c>
      <c r="F12" s="15">
        <f>Dados_MEF!F16*F$8</f>
        <v>74.125642977491466</v>
      </c>
      <c r="G12" s="15">
        <f>Dados_MEF!G16*G$8</f>
        <v>79.597855452785097</v>
      </c>
      <c r="H12" s="15">
        <f>Dados_MEF!H16*H$8</f>
        <v>74.750468734640691</v>
      </c>
      <c r="I12" s="15">
        <f>Dados_MEF!I16*I$8</f>
        <v>69.382107485275228</v>
      </c>
      <c r="J12" s="15">
        <f>Dados_MEF!J16*J$8</f>
        <v>62.110056137600289</v>
      </c>
      <c r="K12" s="15">
        <f>Dados_MEF!K16*K$8</f>
        <v>53.960051008715183</v>
      </c>
      <c r="L12" s="15">
        <f>Dados_MEF!L16*L$8</f>
        <v>46.847138589980553</v>
      </c>
      <c r="M12" s="15">
        <f>Dados_MEF!M16*M$8</f>
        <v>36.040858183811416</v>
      </c>
      <c r="N12" s="15">
        <f>Dados_MEF!N16*N$8</f>
        <v>36.97559393027727</v>
      </c>
      <c r="O12" s="15">
        <f>Dados_MEF!O16*O$8</f>
        <v>37.936852831566512</v>
      </c>
      <c r="P12" s="15">
        <f>Dados_MEF!P16*P$8</f>
        <v>38.922094641865073</v>
      </c>
      <c r="Q12" s="15">
        <f>Dados_MEF!Q16*Q$8</f>
        <v>39.928629689134517</v>
      </c>
      <c r="R12" s="15">
        <f>Dados_MEF!R16*R$8</f>
        <v>40.953917727560778</v>
      </c>
      <c r="S12" s="15">
        <f>Dados_MEF!S16*S$8</f>
        <v>41.996016216227211</v>
      </c>
      <c r="T12" s="15">
        <f>Dados_MEF!T16*T$8</f>
        <v>43.053505606002432</v>
      </c>
      <c r="U12" s="15">
        <f>Dados_MEF!U16*U$8</f>
        <v>44.124891634642857</v>
      </c>
      <c r="V12" s="15">
        <f>Dados_MEF!V16*V$8</f>
        <v>45.209053605465812</v>
      </c>
      <c r="W12" s="15">
        <f>Dados_MEF!W16*W$8</f>
        <v>46.304646682452095</v>
      </c>
      <c r="X12" s="15">
        <f>Dados_MEF!X16*X$8</f>
        <v>47.410923734479901</v>
      </c>
      <c r="Y12" s="15">
        <f>Dados_MEF!Y16*Y$8</f>
        <v>48.527062917315284</v>
      </c>
      <c r="Z12" s="15">
        <f>Dados_MEF!Z16*Z$8</f>
        <v>49.652541239172983</v>
      </c>
      <c r="AA12" s="15">
        <f>Dados_MEF!AA16*AA$8</f>
        <v>33.858039898402858</v>
      </c>
      <c r="AB12" s="15">
        <f>Dados_MEF!AB16*AB$8</f>
        <v>34.6200389295119</v>
      </c>
      <c r="AC12" s="15">
        <f>Dados_MEF!AC16*AC$8</f>
        <v>35.387267878473445</v>
      </c>
      <c r="AD12" s="15">
        <f>Dados_MEF!AD16*AD$8</f>
        <v>36.159353179726594</v>
      </c>
      <c r="AE12" s="15">
        <f>Dados_MEF!AE16*AE$8</f>
        <v>36.935697128373924</v>
      </c>
      <c r="AF12" s="15">
        <f>Dados_MEF!AF16*AF$8</f>
        <v>37.715627306405828</v>
      </c>
      <c r="AG12" s="15">
        <f>Dados_MEF!AG16*AG$8</f>
        <v>38.498919574485761</v>
      </c>
    </row>
    <row r="13" spans="1:33" x14ac:dyDescent="0.35">
      <c r="A13" t="s">
        <v>115</v>
      </c>
      <c r="B13" t="s">
        <v>107</v>
      </c>
      <c r="D13" s="15">
        <f>Dados_MEF!D17</f>
        <v>6.6434100000000003</v>
      </c>
      <c r="E13" s="15">
        <f>Dados_MEF!E17</f>
        <v>13.711499999999999</v>
      </c>
      <c r="F13" s="15">
        <f>Dados_MEF!F17</f>
        <v>16.408000000000001</v>
      </c>
      <c r="G13" s="15">
        <f>Dados_MEF!G17</f>
        <v>19.798999999999999</v>
      </c>
      <c r="H13" s="15">
        <f>Dados_MEF!H17</f>
        <v>21.148199999999999</v>
      </c>
      <c r="I13" s="15">
        <f>Dados_MEF!I17</f>
        <v>22.677700000000002</v>
      </c>
      <c r="J13" s="15">
        <f>Dados_MEF!J17</f>
        <v>23.936900000000001</v>
      </c>
      <c r="K13" s="15">
        <f>Dados_MEF!K17</f>
        <v>25.2182</v>
      </c>
      <c r="L13" s="15">
        <f>Dados_MEF!L17</f>
        <v>27.653500000000001</v>
      </c>
      <c r="M13" s="15">
        <f>Dados_MEF!M17</f>
        <v>28.6572</v>
      </c>
      <c r="N13" s="15">
        <f>Dados_MEF!N17</f>
        <v>29.401399999999999</v>
      </c>
      <c r="O13" s="15">
        <f>Dados_MEF!O17</f>
        <v>30.166599999999999</v>
      </c>
      <c r="P13" s="15">
        <f>Dados_MEF!P17</f>
        <v>30.950800000000001</v>
      </c>
      <c r="Q13" s="15">
        <f>Dados_MEF!Q17</f>
        <v>31.751899999999999</v>
      </c>
      <c r="R13" s="15">
        <f>Dados_MEF!R17</f>
        <v>32.567900000000002</v>
      </c>
      <c r="S13" s="15">
        <f>Dados_MEF!S17</f>
        <v>33.397300000000001</v>
      </c>
      <c r="T13" s="15">
        <f>Dados_MEF!T17</f>
        <v>34.238900000000001</v>
      </c>
      <c r="U13" s="15">
        <f>Dados_MEF!U17</f>
        <v>35.0916</v>
      </c>
      <c r="V13" s="15">
        <f>Dados_MEF!V17</f>
        <v>35.954300000000003</v>
      </c>
      <c r="W13" s="15">
        <f>Dados_MEF!W17</f>
        <v>36.8262</v>
      </c>
      <c r="X13" s="15">
        <f>Dados_MEF!X17</f>
        <v>37.706600000000002</v>
      </c>
      <c r="Y13" s="15">
        <f>Dados_MEF!Y17</f>
        <v>38.594900000000003</v>
      </c>
      <c r="Z13" s="15">
        <f>Dados_MEF!Z17</f>
        <v>39.490600000000001</v>
      </c>
      <c r="AA13" s="15">
        <f>Dados_MEF!AA17</f>
        <v>40.804000000000002</v>
      </c>
      <c r="AB13" s="15">
        <f>Dados_MEF!AB17</f>
        <v>41.722900000000003</v>
      </c>
      <c r="AC13" s="15">
        <f>Dados_MEF!AC17</f>
        <v>42.648099999999999</v>
      </c>
      <c r="AD13" s="15">
        <f>Dados_MEF!AD17</f>
        <v>43.579099999999997</v>
      </c>
      <c r="AE13" s="15">
        <f>Dados_MEF!AE17</f>
        <v>44.5152</v>
      </c>
      <c r="AF13" s="15">
        <f>Dados_MEF!AF17</f>
        <v>45.455800000000004</v>
      </c>
      <c r="AG13" s="15">
        <f>Dados_MEF!AG17</f>
        <v>46.400300000000001</v>
      </c>
    </row>
    <row r="14" spans="1:33" x14ac:dyDescent="0.35">
      <c r="A14" t="s">
        <v>175</v>
      </c>
      <c r="B14" t="s">
        <v>107</v>
      </c>
      <c r="D14" s="15">
        <f>SUM(D10:D13)</f>
        <v>384.73425444167731</v>
      </c>
      <c r="E14" s="15">
        <f t="shared" ref="E14:AG14" si="0">SUM(E10:E13)</f>
        <v>783.10856370647628</v>
      </c>
      <c r="F14" s="15">
        <f t="shared" si="0"/>
        <v>926.78234083024506</v>
      </c>
      <c r="G14" s="15">
        <f t="shared" si="0"/>
        <v>1106.1989273851559</v>
      </c>
      <c r="H14" s="15">
        <f t="shared" si="0"/>
        <v>1169.0131852253189</v>
      </c>
      <c r="I14" s="15">
        <f t="shared" si="0"/>
        <v>1240.3845772029406</v>
      </c>
      <c r="J14" s="15">
        <f t="shared" si="0"/>
        <v>1295.7145530439047</v>
      </c>
      <c r="K14" s="15">
        <f t="shared" si="0"/>
        <v>1351.0904623676533</v>
      </c>
      <c r="L14" s="15">
        <f t="shared" si="0"/>
        <v>1466.5453480863409</v>
      </c>
      <c r="M14" s="15">
        <f t="shared" si="0"/>
        <v>1504.5858619407375</v>
      </c>
      <c r="N14" s="15">
        <f t="shared" si="0"/>
        <v>1543.636281456292</v>
      </c>
      <c r="O14" s="15">
        <f t="shared" si="0"/>
        <v>1583.7906152336964</v>
      </c>
      <c r="P14" s="15">
        <f t="shared" si="0"/>
        <v>1624.9533000425693</v>
      </c>
      <c r="Q14" s="15">
        <f t="shared" si="0"/>
        <v>1666.9913459816848</v>
      </c>
      <c r="R14" s="15">
        <f t="shared" si="0"/>
        <v>1709.8169898695735</v>
      </c>
      <c r="S14" s="15">
        <f t="shared" si="0"/>
        <v>1753.3512691515284</v>
      </c>
      <c r="T14" s="15">
        <f t="shared" si="0"/>
        <v>1797.5162534613426</v>
      </c>
      <c r="U14" s="15">
        <f t="shared" si="0"/>
        <v>1842.2715661159425</v>
      </c>
      <c r="V14" s="15">
        <f t="shared" si="0"/>
        <v>1887.5471020849216</v>
      </c>
      <c r="W14" s="15">
        <f t="shared" si="0"/>
        <v>1933.3104353078938</v>
      </c>
      <c r="X14" s="15">
        <f t="shared" si="0"/>
        <v>1979.5150143479157</v>
      </c>
      <c r="Y14" s="15">
        <f t="shared" si="0"/>
        <v>2026.1367419312066</v>
      </c>
      <c r="Z14" s="15">
        <f t="shared" si="0"/>
        <v>2073.1444109686613</v>
      </c>
      <c r="AA14" s="15">
        <f t="shared" si="0"/>
        <v>2120.8893728147714</v>
      </c>
      <c r="AB14" s="15">
        <f t="shared" si="0"/>
        <v>2168.6327359752058</v>
      </c>
      <c r="AC14" s="15">
        <f t="shared" si="0"/>
        <v>2216.7184213576625</v>
      </c>
      <c r="AD14" s="15">
        <f t="shared" si="0"/>
        <v>2265.0930320787206</v>
      </c>
      <c r="AE14" s="15">
        <f t="shared" si="0"/>
        <v>2313.7400887290873</v>
      </c>
      <c r="AF14" s="15">
        <f t="shared" si="0"/>
        <v>2362.6132743554203</v>
      </c>
      <c r="AG14" s="15">
        <f t="shared" si="0"/>
        <v>2411.6966802410343</v>
      </c>
    </row>
    <row r="15" spans="1:33" x14ac:dyDescent="0.35">
      <c r="A15" t="s">
        <v>176</v>
      </c>
      <c r="B15" t="s">
        <v>107</v>
      </c>
      <c r="D15" s="15">
        <f>-D14*'1. Premissas'!$B$12</f>
        <v>-33.664247263646764</v>
      </c>
      <c r="E15" s="15">
        <f>-E14*'1. Premissas'!$B$12</f>
        <v>-68.521999324316667</v>
      </c>
      <c r="F15" s="15">
        <f>-F14*'1. Premissas'!$B$12</f>
        <v>-81.093454822646436</v>
      </c>
      <c r="G15" s="15">
        <f>-G14*'1. Premissas'!$B$12</f>
        <v>-96.792406146201131</v>
      </c>
      <c r="H15" s="15">
        <f>-H14*'1. Premissas'!$B$12</f>
        <v>-102.2886537072154</v>
      </c>
      <c r="I15" s="15">
        <f>-I14*'1. Premissas'!$B$12</f>
        <v>-108.5336505052573</v>
      </c>
      <c r="J15" s="15">
        <f>-J14*'1. Premissas'!$B$12</f>
        <v>-113.37502339134166</v>
      </c>
      <c r="K15" s="15">
        <f>-K14*'1. Premissas'!$B$12</f>
        <v>-118.22041545716966</v>
      </c>
      <c r="L15" s="15">
        <f>-L14*'1. Premissas'!$B$12</f>
        <v>-128.32271795755483</v>
      </c>
      <c r="M15" s="15">
        <f>-M14*'1. Premissas'!$B$12</f>
        <v>-131.65126291981451</v>
      </c>
      <c r="N15" s="15">
        <f>-N14*'1. Premissas'!$B$12</f>
        <v>-135.06817462742555</v>
      </c>
      <c r="O15" s="15">
        <f>-O14*'1. Premissas'!$B$12</f>
        <v>-138.58167883294843</v>
      </c>
      <c r="P15" s="15">
        <f>-P14*'1. Premissas'!$B$12</f>
        <v>-142.18341375372481</v>
      </c>
      <c r="Q15" s="15">
        <f>-Q14*'1. Premissas'!$B$12</f>
        <v>-145.86174277339742</v>
      </c>
      <c r="R15" s="15">
        <f>-R14*'1. Premissas'!$B$12</f>
        <v>-149.60898661358766</v>
      </c>
      <c r="S15" s="15">
        <f>-S14*'1. Premissas'!$B$12</f>
        <v>-153.41823605075874</v>
      </c>
      <c r="T15" s="15">
        <f>-T14*'1. Premissas'!$B$12</f>
        <v>-157.28267217786745</v>
      </c>
      <c r="U15" s="15">
        <f>-U14*'1. Premissas'!$B$12</f>
        <v>-161.19876203514497</v>
      </c>
      <c r="V15" s="15">
        <f>-V14*'1. Premissas'!$B$12</f>
        <v>-165.16037143243062</v>
      </c>
      <c r="W15" s="15">
        <f>-W14*'1. Premissas'!$B$12</f>
        <v>-169.16466308944069</v>
      </c>
      <c r="X15" s="15">
        <f>-X14*'1. Premissas'!$B$12</f>
        <v>-173.20756375544261</v>
      </c>
      <c r="Y15" s="15">
        <f>-Y14*'1. Premissas'!$B$12</f>
        <v>-177.28696491898057</v>
      </c>
      <c r="Z15" s="15">
        <f>-Z14*'1. Premissas'!$B$12</f>
        <v>-181.40013595975785</v>
      </c>
      <c r="AA15" s="15">
        <f>-AA14*'1. Premissas'!$B$12</f>
        <v>-185.57782012129249</v>
      </c>
      <c r="AB15" s="15">
        <f>-AB14*'1. Premissas'!$B$12</f>
        <v>-189.7553643978305</v>
      </c>
      <c r="AC15" s="15">
        <f>-AC14*'1. Premissas'!$B$12</f>
        <v>-193.96286186879544</v>
      </c>
      <c r="AD15" s="15">
        <f>-AD14*'1. Premissas'!$B$12</f>
        <v>-198.19564030688804</v>
      </c>
      <c r="AE15" s="15">
        <f>-AE14*'1. Premissas'!$B$12</f>
        <v>-202.45225776379513</v>
      </c>
      <c r="AF15" s="15">
        <f>-AF14*'1. Premissas'!$B$12</f>
        <v>-206.72866150609926</v>
      </c>
      <c r="AG15" s="15">
        <f>-AG14*'1. Premissas'!$B$12</f>
        <v>-211.0234595210905</v>
      </c>
    </row>
    <row r="16" spans="1:33" x14ac:dyDescent="0.35">
      <c r="A16" t="s">
        <v>177</v>
      </c>
      <c r="B16" t="s">
        <v>107</v>
      </c>
      <c r="D16" s="15">
        <f>D14+D15</f>
        <v>351.07000717803055</v>
      </c>
      <c r="E16" s="15">
        <f t="shared" ref="E16:AG16" si="1">E14+E15</f>
        <v>714.58656438215962</v>
      </c>
      <c r="F16" s="15">
        <f t="shared" si="1"/>
        <v>845.68888600759863</v>
      </c>
      <c r="G16" s="15">
        <f t="shared" si="1"/>
        <v>1009.4065212389548</v>
      </c>
      <c r="H16" s="15">
        <f t="shared" si="1"/>
        <v>1066.7245315181035</v>
      </c>
      <c r="I16" s="15">
        <f t="shared" si="1"/>
        <v>1131.8509266976832</v>
      </c>
      <c r="J16" s="15">
        <f t="shared" si="1"/>
        <v>1182.339529652563</v>
      </c>
      <c r="K16" s="15">
        <f t="shared" si="1"/>
        <v>1232.8700469104838</v>
      </c>
      <c r="L16" s="15">
        <f t="shared" si="1"/>
        <v>1338.222630128786</v>
      </c>
      <c r="M16" s="15">
        <f t="shared" si="1"/>
        <v>1372.9345990209229</v>
      </c>
      <c r="N16" s="15">
        <f t="shared" si="1"/>
        <v>1408.5681068288663</v>
      </c>
      <c r="O16" s="15">
        <f t="shared" si="1"/>
        <v>1445.2089364007479</v>
      </c>
      <c r="P16" s="15">
        <f t="shared" si="1"/>
        <v>1482.7698862888444</v>
      </c>
      <c r="Q16" s="15">
        <f t="shared" si="1"/>
        <v>1521.1296032082873</v>
      </c>
      <c r="R16" s="15">
        <f t="shared" si="1"/>
        <v>1560.2080032559859</v>
      </c>
      <c r="S16" s="15">
        <f t="shared" si="1"/>
        <v>1599.9330331007698</v>
      </c>
      <c r="T16" s="15">
        <f t="shared" si="1"/>
        <v>1640.2335812834751</v>
      </c>
      <c r="U16" s="15">
        <f t="shared" si="1"/>
        <v>1681.0728040807976</v>
      </c>
      <c r="V16" s="15">
        <f t="shared" si="1"/>
        <v>1722.386730652491</v>
      </c>
      <c r="W16" s="15">
        <f t="shared" si="1"/>
        <v>1764.1457722184532</v>
      </c>
      <c r="X16" s="15">
        <f t="shared" si="1"/>
        <v>1806.3074505924731</v>
      </c>
      <c r="Y16" s="15">
        <f t="shared" si="1"/>
        <v>1848.849777012226</v>
      </c>
      <c r="Z16" s="15">
        <f t="shared" si="1"/>
        <v>1891.7442750089035</v>
      </c>
      <c r="AA16" s="15">
        <f t="shared" si="1"/>
        <v>1935.3115526934789</v>
      </c>
      <c r="AB16" s="15">
        <f t="shared" si="1"/>
        <v>1978.8773715773752</v>
      </c>
      <c r="AC16" s="15">
        <f t="shared" si="1"/>
        <v>2022.755559488867</v>
      </c>
      <c r="AD16" s="15">
        <f t="shared" si="1"/>
        <v>2066.8973917718326</v>
      </c>
      <c r="AE16" s="15">
        <f t="shared" si="1"/>
        <v>2111.2878309652924</v>
      </c>
      <c r="AF16" s="15">
        <f t="shared" si="1"/>
        <v>2155.884612849321</v>
      </c>
      <c r="AG16" s="15">
        <f t="shared" si="1"/>
        <v>2200.6732207199439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1"/>
  <sheetViews>
    <sheetView zoomScale="70" workbookViewId="0">
      <pane xSplit="3" ySplit="4" topLeftCell="D5" activePane="bottomRight" state="frozen"/>
      <selection pane="topRight"/>
      <selection pane="bottomLeft"/>
      <selection pane="bottomRight" activeCell="AE15" sqref="AE15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</cols>
  <sheetData>
    <row r="1" spans="1:33" ht="18.5" x14ac:dyDescent="0.45">
      <c r="A1" s="1" t="s">
        <v>21</v>
      </c>
    </row>
    <row r="2" spans="1:33" x14ac:dyDescent="0.35">
      <c r="A2" s="3" t="s">
        <v>178</v>
      </c>
    </row>
    <row r="4" spans="1:33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</row>
    <row r="5" spans="1:33" x14ac:dyDescent="0.35">
      <c r="A5" s="8" t="s">
        <v>119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35">
      <c r="A6" t="s">
        <v>179</v>
      </c>
      <c r="B6" t="s">
        <v>107</v>
      </c>
      <c r="D6" s="15">
        <f>(Dados_MEF!D30-2*Dados_MEF!D27)*'2. Cenários'!$E$7</f>
        <v>204.61726000000002</v>
      </c>
      <c r="E6" s="15">
        <f>(Dados_MEF!E30-2*Dados_MEF!E27)*'2. Cenários'!$E$7</f>
        <v>210.55180000000001</v>
      </c>
      <c r="F6" s="15">
        <f>(Dados_MEF!F30-2*Dados_MEF!F27)*'2. Cenários'!$E$7</f>
        <v>233.88060000000002</v>
      </c>
      <c r="G6" s="15">
        <f>(Dados_MEF!G30-2*Dados_MEF!G27)*'2. Cenários'!$E$7</f>
        <v>243.79539999999997</v>
      </c>
      <c r="H6" s="15">
        <f>(Dados_MEF!H30-2*Dados_MEF!H27)*'2. Cenários'!$E$7</f>
        <v>254.23839999999998</v>
      </c>
      <c r="I6" s="15">
        <f>(Dados_MEF!I30-2*Dados_MEF!I27)*'2. Cenários'!$E$7</f>
        <v>260.2756</v>
      </c>
      <c r="J6" s="15">
        <f>(Dados_MEF!J30-2*Dados_MEF!J27)*'2. Cenários'!$E$7</f>
        <v>266.00239999999997</v>
      </c>
      <c r="K6" s="15">
        <f>(Dados_MEF!K30-2*Dados_MEF!K27)*'2. Cenários'!$E$7</f>
        <v>274.19439999999997</v>
      </c>
      <c r="L6" s="15">
        <f>(Dados_MEF!L30-2*Dados_MEF!L27)*'2. Cenários'!$E$7</f>
        <v>263.06760000000003</v>
      </c>
      <c r="M6" s="15">
        <f>(Dados_MEF!M30-2*Dados_MEF!M27)*'2. Cenários'!$E$7</f>
        <v>263.10019999999997</v>
      </c>
      <c r="N6" s="15">
        <f>(Dados_MEF!N30-2*Dados_MEF!N27)*'2. Cenários'!$E$7</f>
        <v>264.1302</v>
      </c>
      <c r="O6" s="15">
        <f>(Dados_MEF!O30-2*Dados_MEF!O27)*'2. Cenários'!$E$7</f>
        <v>263.18459999999999</v>
      </c>
      <c r="P6" s="15">
        <f>(Dados_MEF!P30-2*Dados_MEF!P27)*'2. Cenários'!$E$7</f>
        <v>263.3802</v>
      </c>
      <c r="Q6" s="15">
        <f>(Dados_MEF!Q30-2*Dados_MEF!Q27)*'2. Cenários'!$E$7</f>
        <v>263.43020000000001</v>
      </c>
      <c r="R6" s="15">
        <f>(Dados_MEF!R30-2*Dados_MEF!R27)*'2. Cenários'!$E$7</f>
        <v>263.55380000000002</v>
      </c>
      <c r="S6" s="15">
        <f>(Dados_MEF!S30-2*Dados_MEF!S27)*'2. Cenários'!$E$7</f>
        <v>264.69939999999997</v>
      </c>
      <c r="T6" s="15">
        <f>(Dados_MEF!T30-2*Dados_MEF!T27)*'2. Cenários'!$E$7</f>
        <v>263.97140000000002</v>
      </c>
      <c r="U6" s="15">
        <f>(Dados_MEF!U30-2*Dados_MEF!U27)*'2. Cenários'!$E$7</f>
        <v>263.97940000000006</v>
      </c>
      <c r="V6" s="15">
        <f>(Dados_MEF!V30-2*Dados_MEF!V27)*'2. Cenários'!$E$7</f>
        <v>264.00279999999998</v>
      </c>
      <c r="W6" s="15">
        <f>(Dados_MEF!W30-2*Dados_MEF!W27)*'2. Cenários'!$E$7</f>
        <v>264.49379999999996</v>
      </c>
      <c r="X6" s="15">
        <f>(Dados_MEF!X30-2*Dados_MEF!X27)*'2. Cenários'!$E$7</f>
        <v>265.26439999999997</v>
      </c>
      <c r="Y6" s="15">
        <f>(Dados_MEF!Y30-2*Dados_MEF!Y27)*'2. Cenários'!$E$7</f>
        <v>264.3082</v>
      </c>
      <c r="Z6" s="15">
        <f>(Dados_MEF!Z30-2*Dados_MEF!Z27)*'2. Cenários'!$E$7</f>
        <v>264.5582</v>
      </c>
      <c r="AA6" s="15">
        <f>(Dados_MEF!AA30-2*Dados_MEF!AA27)*'2. Cenários'!$E$7</f>
        <v>264.64859999999999</v>
      </c>
      <c r="AB6" s="15">
        <f>(Dados_MEF!AB30-2*Dados_MEF!AB27)*'2. Cenários'!$E$7</f>
        <v>264.83899999999994</v>
      </c>
      <c r="AC6" s="15">
        <f>(Dados_MEF!AC30-2*Dados_MEF!AC27)*'2. Cenários'!$E$7</f>
        <v>265.87200000000001</v>
      </c>
      <c r="AD6" s="15">
        <f>(Dados_MEF!AD30-2*Dados_MEF!AD27)*'2. Cenários'!$E$7</f>
        <v>264.971</v>
      </c>
      <c r="AE6" s="15">
        <f>(Dados_MEF!AE30-2*Dados_MEF!AE27)*'2. Cenários'!$E$7</f>
        <v>265.03899999999999</v>
      </c>
      <c r="AF6" s="15">
        <f>(Dados_MEF!AF30-2*Dados_MEF!AF27)*'2. Cenários'!$E$7</f>
        <v>266.16320000000002</v>
      </c>
      <c r="AG6" s="15">
        <f>(Dados_MEF!AG30-2*Dados_MEF!AG27)*'2. Cenários'!$E$7</f>
        <v>281.64699999999999</v>
      </c>
    </row>
    <row r="7" spans="1:33" x14ac:dyDescent="0.35">
      <c r="A7" t="s">
        <v>180</v>
      </c>
      <c r="B7" t="s">
        <v>107</v>
      </c>
      <c r="D7" s="15">
        <f>('3. Receita'!D10+'3. Receita'!D13)*'1. Premissas'!$B$14</f>
        <v>6.7508660210414702</v>
      </c>
      <c r="E7" s="15">
        <f>('3. Receita'!E10+'3. Receita'!E13)*'1. Premissas'!$B$14</f>
        <v>13.933266225860335</v>
      </c>
      <c r="F7" s="15">
        <f>('3. Receita'!F10+'3. Receita'!F13)*'1. Premissas'!$B$14</f>
        <v>16.673296977526046</v>
      </c>
      <c r="G7" s="15">
        <f>('3. Receita'!G10+'3. Receita'!G13)*'1. Premissas'!$B$14</f>
        <v>20.119195631567074</v>
      </c>
      <c r="H7" s="15">
        <f>('3. Receita'!H10+'3. Receita'!H13)*'1. Premissas'!$B$14</f>
        <v>21.490268519659217</v>
      </c>
      <c r="I7" s="15">
        <f>('3. Receita'!I10+'3. Receita'!I13)*'1. Premissas'!$B$14</f>
        <v>23.044408303204232</v>
      </c>
      <c r="J7" s="15">
        <f>('3. Receita'!J10+'3. Receita'!J13)*'1. Premissas'!$B$14</f>
        <v>24.324174882906469</v>
      </c>
      <c r="K7" s="15">
        <f>('3. Receita'!K10+'3. Receita'!K13)*'1. Premissas'!$B$14</f>
        <v>25.626050265140485</v>
      </c>
      <c r="L7" s="15">
        <f>('3. Receita'!L10+'3. Receita'!L13)*'1. Premissas'!$B$14</f>
        <v>28.100691017578047</v>
      </c>
      <c r="M7" s="15">
        <f>('3. Receita'!M10+'3. Receita'!M13)*'1. Premissas'!$B$14</f>
        <v>29.120725310975782</v>
      </c>
      <c r="N7" s="15">
        <f>('3. Receita'!N10+'3. Receita'!N13)*'1. Premissas'!$B$14</f>
        <v>29.876912810011362</v>
      </c>
      <c r="O7" s="15">
        <f>('3. Receita'!O10+'3. Receita'!O13)*'1. Premissas'!$B$14</f>
        <v>30.654439980456946</v>
      </c>
      <c r="P7" s="15">
        <f>('3. Receita'!P10+'3. Receita'!P13)*'1. Premissas'!$B$14</f>
        <v>31.451473707620242</v>
      </c>
      <c r="Q7" s="15">
        <f>('3. Receita'!Q10+'3. Receita'!Q13)*'1. Premissas'!$B$14</f>
        <v>32.265431745687167</v>
      </c>
      <c r="R7" s="15">
        <f>('3. Receita'!R10+'3. Receita'!R13)*'1. Premissas'!$B$14</f>
        <v>33.094630406189808</v>
      </c>
      <c r="S7" s="15">
        <f>('3. Receita'!S10+'3. Receita'!S13)*'1. Premissas'!$B$14</f>
        <v>33.937545426884583</v>
      </c>
      <c r="T7" s="15">
        <f>('3. Receita'!T10+'3. Receita'!T13)*'1. Premissas'!$B$14</f>
        <v>34.792658545527942</v>
      </c>
      <c r="U7" s="15">
        <f>('3. Receita'!U10+'3. Receita'!U13)*'1. Premissas'!$B$14</f>
        <v>35.659200630998065</v>
      </c>
      <c r="V7" s="15">
        <f>('3. Receita'!V10+'3. Receita'!V13)*'1. Premissas'!$B$14</f>
        <v>36.535804847275756</v>
      </c>
      <c r="W7" s="15">
        <f>('3. Receita'!W10+'3. Receita'!W13)*'1. Premissas'!$B$14</f>
        <v>37.421857489463598</v>
      </c>
      <c r="X7" s="15">
        <f>('3. Receita'!X10+'3. Receita'!X13)*'1. Premissas'!$B$14</f>
        <v>38.316448000215438</v>
      </c>
      <c r="Y7" s="15">
        <f>('3. Receita'!Y10+'3. Receita'!Y13)*'1. Premissas'!$B$14</f>
        <v>39.219116100858194</v>
      </c>
      <c r="Z7" s="15">
        <f>('3. Receita'!Z10+'3. Receita'!Z13)*'1. Premissas'!$B$14</f>
        <v>40.129254086494456</v>
      </c>
      <c r="AA7" s="15">
        <f>('3. Receita'!AA10+'3. Receita'!AA13)*'1. Premissas'!$B$14</f>
        <v>41.464047533189607</v>
      </c>
      <c r="AB7" s="15">
        <f>('3. Receita'!AB10+'3. Receita'!AB13)*'1. Premissas'!$B$14</f>
        <v>42.397661157376874</v>
      </c>
      <c r="AC7" s="15">
        <f>('3. Receita'!AC10+'3. Receita'!AC13)*'1. Premissas'!$B$14</f>
        <v>43.337975535435824</v>
      </c>
      <c r="AD7" s="15">
        <f>('3. Receita'!AD10+'3. Receita'!AD13)*'1. Premissas'!$B$14</f>
        <v>44.283934683796005</v>
      </c>
      <c r="AE7" s="15">
        <f>('3. Receita'!AE10+'3. Receita'!AE13)*'1. Premissas'!$B$14</f>
        <v>45.235225750008688</v>
      </c>
      <c r="AF7" s="15">
        <f>('3. Receita'!AF10+'3. Receita'!AF13)*'1. Premissas'!$B$14</f>
        <v>46.190940176727729</v>
      </c>
      <c r="AG7" s="15">
        <f>('3. Receita'!AG10+'3. Receita'!AG13)*'1. Premissas'!$B$14</f>
        <v>47.150767111504393</v>
      </c>
    </row>
    <row r="8" spans="1:33" x14ac:dyDescent="0.35">
      <c r="A8" t="s">
        <v>138</v>
      </c>
      <c r="B8" t="s">
        <v>107</v>
      </c>
      <c r="D8" s="15">
        <f>D6+D7</f>
        <v>211.36812602104149</v>
      </c>
      <c r="E8" s="15">
        <f t="shared" ref="E8:AG8" si="0">E6+E7</f>
        <v>224.48506622586035</v>
      </c>
      <c r="F8" s="15">
        <f t="shared" si="0"/>
        <v>250.55389697752605</v>
      </c>
      <c r="G8" s="15">
        <f t="shared" si="0"/>
        <v>263.91459563156707</v>
      </c>
      <c r="H8" s="15">
        <f t="shared" si="0"/>
        <v>275.72866851965921</v>
      </c>
      <c r="I8" s="15">
        <f t="shared" si="0"/>
        <v>283.32000830320425</v>
      </c>
      <c r="J8" s="15">
        <f t="shared" si="0"/>
        <v>290.32657488290641</v>
      </c>
      <c r="K8" s="15">
        <f t="shared" si="0"/>
        <v>299.82045026514044</v>
      </c>
      <c r="L8" s="15">
        <f t="shared" si="0"/>
        <v>291.1682910175781</v>
      </c>
      <c r="M8" s="15">
        <f t="shared" si="0"/>
        <v>292.22092531097576</v>
      </c>
      <c r="N8" s="15">
        <f t="shared" si="0"/>
        <v>294.00711281001134</v>
      </c>
      <c r="O8" s="15">
        <f t="shared" si="0"/>
        <v>293.83903998045696</v>
      </c>
      <c r="P8" s="15">
        <f t="shared" si="0"/>
        <v>294.83167370762027</v>
      </c>
      <c r="Q8" s="15">
        <f t="shared" si="0"/>
        <v>295.69563174568719</v>
      </c>
      <c r="R8" s="15">
        <f t="shared" si="0"/>
        <v>296.64843040618985</v>
      </c>
      <c r="S8" s="15">
        <f t="shared" si="0"/>
        <v>298.63694542688455</v>
      </c>
      <c r="T8" s="15">
        <f t="shared" si="0"/>
        <v>298.76405854552797</v>
      </c>
      <c r="U8" s="15">
        <f t="shared" si="0"/>
        <v>299.6386006309981</v>
      </c>
      <c r="V8" s="15">
        <f t="shared" si="0"/>
        <v>300.53860484727574</v>
      </c>
      <c r="W8" s="15">
        <f t="shared" si="0"/>
        <v>301.91565748946357</v>
      </c>
      <c r="X8" s="15">
        <f t="shared" si="0"/>
        <v>303.58084800021538</v>
      </c>
      <c r="Y8" s="15">
        <f t="shared" si="0"/>
        <v>303.52731610085817</v>
      </c>
      <c r="Z8" s="15">
        <f t="shared" si="0"/>
        <v>304.68745408649443</v>
      </c>
      <c r="AA8" s="15">
        <f t="shared" si="0"/>
        <v>306.1126475331896</v>
      </c>
      <c r="AB8" s="15">
        <f t="shared" si="0"/>
        <v>307.23666115737683</v>
      </c>
      <c r="AC8" s="15">
        <f t="shared" si="0"/>
        <v>309.20997553543583</v>
      </c>
      <c r="AD8" s="15">
        <f t="shared" si="0"/>
        <v>309.25493468379602</v>
      </c>
      <c r="AE8" s="15">
        <f t="shared" si="0"/>
        <v>310.27422575000867</v>
      </c>
      <c r="AF8" s="15">
        <f t="shared" si="0"/>
        <v>312.35414017672775</v>
      </c>
      <c r="AG8" s="15">
        <f t="shared" si="0"/>
        <v>328.79776711150441</v>
      </c>
    </row>
    <row r="9" spans="1:33" x14ac:dyDescent="0.35">
      <c r="A9" s="8" t="s">
        <v>140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pans="1:33" x14ac:dyDescent="0.35">
      <c r="A10" t="s">
        <v>155</v>
      </c>
      <c r="B10" t="s">
        <v>107</v>
      </c>
      <c r="D10" s="15">
        <f>Dados_MEF!D40*'2. Cenários'!$E$6</f>
        <v>463.00200000000001</v>
      </c>
      <c r="E10" s="15">
        <f>Dados_MEF!E40*'2. Cenários'!$E$6</f>
        <v>469.03199999999998</v>
      </c>
      <c r="F10" s="15">
        <f>Dados_MEF!F40*'2. Cenários'!$E$6</f>
        <v>2416.9899999999998</v>
      </c>
      <c r="G10" s="15">
        <f>Dados_MEF!G40*'2. Cenários'!$E$6</f>
        <v>1873.11</v>
      </c>
      <c r="H10" s="15">
        <f>Dados_MEF!H40*'2. Cenários'!$E$6</f>
        <v>1779.9</v>
      </c>
      <c r="I10" s="15">
        <f>Dados_MEF!I40*'2. Cenários'!$E$6</f>
        <v>1401.74</v>
      </c>
      <c r="J10" s="15">
        <f>Dados_MEF!J40*'2. Cenários'!$E$6</f>
        <v>1099.06</v>
      </c>
      <c r="K10" s="15">
        <f>Dados_MEF!K40*'2. Cenários'!$E$6</f>
        <v>1025.05</v>
      </c>
      <c r="L10" s="15">
        <f>Dados_MEF!L40*'2. Cenários'!$E$6</f>
        <v>289.81799999999998</v>
      </c>
      <c r="M10" s="15">
        <f>Dados_MEF!M40*'2. Cenários'!$E$6</f>
        <v>175.898</v>
      </c>
      <c r="N10" s="15">
        <f>Dados_MEF!N40*'2. Cenários'!$E$6</f>
        <v>122.759</v>
      </c>
      <c r="O10" s="15">
        <f>Dados_MEF!O40*'2. Cenários'!$E$6</f>
        <v>85.250500000000002</v>
      </c>
      <c r="P10" s="15">
        <f>Dados_MEF!P40*'2. Cenários'!$E$6</f>
        <v>171.42</v>
      </c>
      <c r="Q10" s="15">
        <f>Dados_MEF!Q40*'2. Cenários'!$E$6</f>
        <v>115.02800000000001</v>
      </c>
      <c r="R10" s="15">
        <f>Dados_MEF!R40*'2. Cenários'!$E$6</f>
        <v>112.94499999999999</v>
      </c>
      <c r="S10" s="15">
        <f>Dados_MEF!S40*'2. Cenários'!$E$6</f>
        <v>148.548</v>
      </c>
      <c r="T10" s="15">
        <f>Dados_MEF!T40*'2. Cenários'!$E$6</f>
        <v>324.50599999999997</v>
      </c>
      <c r="U10" s="15">
        <f>Dados_MEF!U40*'2. Cenários'!$E$6</f>
        <v>231.36699999999999</v>
      </c>
      <c r="V10" s="15">
        <f>Dados_MEF!V40*'2. Cenários'!$E$6</f>
        <v>145.548</v>
      </c>
      <c r="W10" s="15">
        <f>Dados_MEF!W40*'2. Cenários'!$E$6</f>
        <v>172.18299999999999</v>
      </c>
      <c r="X10" s="15">
        <f>Dados_MEF!X40*'2. Cenários'!$E$6</f>
        <v>153.352</v>
      </c>
      <c r="Y10" s="15">
        <f>Dados_MEF!Y40*'2. Cenários'!$E$6</f>
        <v>93.736500000000007</v>
      </c>
      <c r="Z10" s="15">
        <f>Dados_MEF!Z40*'2. Cenários'!$E$6</f>
        <v>236.48699999999999</v>
      </c>
      <c r="AA10" s="15">
        <f>Dados_MEF!AA40*'2. Cenários'!$E$6</f>
        <v>161.89599999999999</v>
      </c>
      <c r="AB10" s="15">
        <f>Dados_MEF!AB40*'2. Cenários'!$E$6</f>
        <v>241.88200000000001</v>
      </c>
      <c r="AC10" s="15">
        <f>Dados_MEF!AC40*'2. Cenários'!$E$6</f>
        <v>180.66300000000001</v>
      </c>
      <c r="AD10" s="15">
        <f>Dados_MEF!AD40*'2. Cenários'!$E$6</f>
        <v>207.76900000000001</v>
      </c>
      <c r="AE10" s="15">
        <f>Dados_MEF!AE40*'2. Cenários'!$E$6</f>
        <v>209.66200000000001</v>
      </c>
      <c r="AF10" s="15">
        <f>Dados_MEF!AF40*'2. Cenários'!$E$6</f>
        <v>113.20399999999999</v>
      </c>
      <c r="AG10" s="15">
        <f>Dados_MEF!AG40*'2. Cenários'!$E$6</f>
        <v>117.157</v>
      </c>
    </row>
    <row r="11" spans="1:33" x14ac:dyDescent="0.35">
      <c r="A11" t="s">
        <v>160</v>
      </c>
      <c r="B11" t="s">
        <v>107</v>
      </c>
      <c r="D11" s="15">
        <f>Dados_MEF!D44*'2. Cenários'!$E$6</f>
        <v>0</v>
      </c>
      <c r="E11" s="15">
        <f>Dados_MEF!E44*'2. Cenários'!$E$6</f>
        <v>4.0048000000000004</v>
      </c>
      <c r="F11" s="15">
        <f>Dados_MEF!F44*'2. Cenários'!$E$6</f>
        <v>9.9295799999999996</v>
      </c>
      <c r="G11" s="15">
        <f>Dados_MEF!G44*'2. Cenários'!$E$6</f>
        <v>44.551099999999998</v>
      </c>
      <c r="H11" s="15">
        <f>Dados_MEF!H44*'2. Cenários'!$E$6</f>
        <v>76.451899999999995</v>
      </c>
      <c r="I11" s="15">
        <f>Dados_MEF!I44*'2. Cenários'!$E$6</f>
        <v>113.312</v>
      </c>
      <c r="J11" s="15">
        <f>Dados_MEF!J44*'2. Cenários'!$E$6</f>
        <v>147.90600000000001</v>
      </c>
      <c r="K11" s="15">
        <f>Dados_MEF!K44*'2. Cenários'!$E$6</f>
        <v>181.5</v>
      </c>
      <c r="L11" s="15">
        <f>Dados_MEF!L44*'2. Cenários'!$E$6</f>
        <v>227.279</v>
      </c>
      <c r="M11" s="15">
        <f>Dados_MEF!M44*'2. Cenários'!$E$6</f>
        <v>252.01400000000001</v>
      </c>
      <c r="N11" s="15">
        <f>Dados_MEF!N44*'2. Cenários'!$E$6</f>
        <v>272.33</v>
      </c>
      <c r="O11" s="15">
        <f>Dados_MEF!O44*'2. Cenários'!$E$6</f>
        <v>292.76499999999999</v>
      </c>
      <c r="P11" s="15">
        <f>Dados_MEF!P44*'2. Cenários'!$E$6</f>
        <v>313.572</v>
      </c>
      <c r="Q11" s="15">
        <f>Dados_MEF!Q44*'2. Cenários'!$E$6</f>
        <v>338.99200000000002</v>
      </c>
      <c r="R11" s="15">
        <f>Dados_MEF!R44*'2. Cenários'!$E$6</f>
        <v>359.803</v>
      </c>
      <c r="S11" s="15">
        <f>Dados_MEF!S44*'2. Cenários'!$E$6</f>
        <v>386.74799999999999</v>
      </c>
      <c r="T11" s="15">
        <f>Dados_MEF!T44*'2. Cenários'!$E$6</f>
        <v>417.47300000000001</v>
      </c>
      <c r="U11" s="15">
        <f>Dados_MEF!U44*'2. Cenários'!$E$6</f>
        <v>460.13299999999998</v>
      </c>
      <c r="V11" s="15">
        <f>Dados_MEF!V44*'2. Cenários'!$E$6</f>
        <v>501.75200000000001</v>
      </c>
      <c r="W11" s="15">
        <f>Dados_MEF!W44*'2. Cenários'!$E$6</f>
        <v>541.697</v>
      </c>
      <c r="X11" s="15">
        <f>Dados_MEF!X44*'2. Cenários'!$E$6</f>
        <v>587.22</v>
      </c>
      <c r="Y11" s="15">
        <f>Dados_MEF!Y44*'2. Cenários'!$E$6</f>
        <v>635.53399999999999</v>
      </c>
      <c r="Z11" s="15">
        <f>Dados_MEF!Z44*'2. Cenários'!$E$6</f>
        <v>682.58100000000002</v>
      </c>
      <c r="AA11" s="15">
        <f>Dados_MEF!AA44*'2. Cenários'!$E$6</f>
        <v>750.97299999999996</v>
      </c>
      <c r="AB11" s="15">
        <f>Dados_MEF!AB44*'2. Cenários'!$E$6</f>
        <v>818.11599999999999</v>
      </c>
      <c r="AC11" s="15">
        <f>Dados_MEF!AC44*'2. Cenários'!$E$6</f>
        <v>908.67100000000005</v>
      </c>
      <c r="AD11" s="15">
        <f>Dados_MEF!AD44*'2. Cenários'!$E$6</f>
        <v>1002.48</v>
      </c>
      <c r="AE11" s="15">
        <f>Dados_MEF!AE44*'2. Cenários'!$E$6</f>
        <v>1125.32</v>
      </c>
      <c r="AF11" s="15">
        <f>Dados_MEF!AF44*'2. Cenários'!$E$6</f>
        <v>1291.26</v>
      </c>
      <c r="AG11" s="15">
        <f>Dados_MEF!AG44*'2. Cenários'!$E$6</f>
        <v>1594.58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7"/>
  <sheetViews>
    <sheetView zoomScale="63" workbookViewId="0">
      <pane xSplit="3" ySplit="4" topLeftCell="D5" activePane="bottomRight" state="frozen"/>
      <selection pane="topRight"/>
      <selection pane="bottomLeft"/>
      <selection pane="bottomRight" activeCell="C17" sqref="C17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</cols>
  <sheetData>
    <row r="1" spans="1:33" ht="18.5" x14ac:dyDescent="0.45">
      <c r="A1" s="1" t="s">
        <v>23</v>
      </c>
    </row>
    <row r="2" spans="1:33" x14ac:dyDescent="0.35">
      <c r="A2" s="3" t="s">
        <v>181</v>
      </c>
    </row>
    <row r="4" spans="1:33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</row>
    <row r="5" spans="1:33" x14ac:dyDescent="0.35">
      <c r="A5" s="8" t="s">
        <v>182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35">
      <c r="A6" t="s">
        <v>177</v>
      </c>
      <c r="B6" t="s">
        <v>107</v>
      </c>
      <c r="D6" s="15">
        <f>'3. Receita'!D16</f>
        <v>351.07000717803055</v>
      </c>
      <c r="E6" s="15">
        <f>'3. Receita'!E16</f>
        <v>714.58656438215962</v>
      </c>
      <c r="F6" s="15">
        <f>'3. Receita'!F16</f>
        <v>845.68888600759863</v>
      </c>
      <c r="G6" s="15">
        <f>'3. Receita'!G16</f>
        <v>1009.4065212389548</v>
      </c>
      <c r="H6" s="15">
        <f>'3. Receita'!H16</f>
        <v>1066.7245315181035</v>
      </c>
      <c r="I6" s="15">
        <f>'3. Receita'!I16</f>
        <v>1131.8509266976832</v>
      </c>
      <c r="J6" s="15">
        <f>'3. Receita'!J16</f>
        <v>1182.339529652563</v>
      </c>
      <c r="K6" s="15">
        <f>'3. Receita'!K16</f>
        <v>1232.8700469104838</v>
      </c>
      <c r="L6" s="15">
        <f>'3. Receita'!L16</f>
        <v>1338.222630128786</v>
      </c>
      <c r="M6" s="15">
        <f>'3. Receita'!M16</f>
        <v>1372.9345990209229</v>
      </c>
      <c r="N6" s="15">
        <f>'3. Receita'!N16</f>
        <v>1408.5681068288663</v>
      </c>
      <c r="O6" s="15">
        <f>'3. Receita'!O16</f>
        <v>1445.2089364007479</v>
      </c>
      <c r="P6" s="15">
        <f>'3. Receita'!P16</f>
        <v>1482.7698862888444</v>
      </c>
      <c r="Q6" s="15">
        <f>'3. Receita'!Q16</f>
        <v>1521.1296032082873</v>
      </c>
      <c r="R6" s="15">
        <f>'3. Receita'!R16</f>
        <v>1560.2080032559859</v>
      </c>
      <c r="S6" s="15">
        <f>'3. Receita'!S16</f>
        <v>1599.9330331007698</v>
      </c>
      <c r="T6" s="15">
        <f>'3. Receita'!T16</f>
        <v>1640.2335812834751</v>
      </c>
      <c r="U6" s="15">
        <f>'3. Receita'!U16</f>
        <v>1681.0728040807976</v>
      </c>
      <c r="V6" s="15">
        <f>'3. Receita'!V16</f>
        <v>1722.386730652491</v>
      </c>
      <c r="W6" s="15">
        <f>'3. Receita'!W16</f>
        <v>1764.1457722184532</v>
      </c>
      <c r="X6" s="15">
        <f>'3. Receita'!X16</f>
        <v>1806.3074505924731</v>
      </c>
      <c r="Y6" s="15">
        <f>'3. Receita'!Y16</f>
        <v>1848.849777012226</v>
      </c>
      <c r="Z6" s="15">
        <f>'3. Receita'!Z16</f>
        <v>1891.7442750089035</v>
      </c>
      <c r="AA6" s="15">
        <f>'3. Receita'!AA16</f>
        <v>1935.3115526934789</v>
      </c>
      <c r="AB6" s="15">
        <f>'3. Receita'!AB16</f>
        <v>1978.8773715773752</v>
      </c>
      <c r="AC6" s="15">
        <f>'3. Receita'!AC16</f>
        <v>2022.755559488867</v>
      </c>
      <c r="AD6" s="15">
        <f>'3. Receita'!AD16</f>
        <v>2066.8973917718326</v>
      </c>
      <c r="AE6" s="15">
        <f>'3. Receita'!AE16</f>
        <v>2111.2878309652924</v>
      </c>
      <c r="AF6" s="15">
        <f>'3. Receita'!AF16</f>
        <v>2155.884612849321</v>
      </c>
      <c r="AG6" s="15">
        <f>'3. Receita'!AG16</f>
        <v>2200.6732207199439</v>
      </c>
    </row>
    <row r="7" spans="1:33" x14ac:dyDescent="0.35">
      <c r="A7" t="s">
        <v>183</v>
      </c>
      <c r="B7" t="s">
        <v>107</v>
      </c>
      <c r="D7" s="15">
        <f>-'4. Custos'!D8</f>
        <v>-211.36812602104149</v>
      </c>
      <c r="E7" s="15">
        <f>-'4. Custos'!E8</f>
        <v>-224.48506622586035</v>
      </c>
      <c r="F7" s="15">
        <f>-'4. Custos'!F8</f>
        <v>-250.55389697752605</v>
      </c>
      <c r="G7" s="15">
        <f>-'4. Custos'!G8</f>
        <v>-263.91459563156707</v>
      </c>
      <c r="H7" s="15">
        <f>-'4. Custos'!H8</f>
        <v>-275.72866851965921</v>
      </c>
      <c r="I7" s="15">
        <f>-'4. Custos'!I8</f>
        <v>-283.32000830320425</v>
      </c>
      <c r="J7" s="15">
        <f>-'4. Custos'!J8</f>
        <v>-290.32657488290641</v>
      </c>
      <c r="K7" s="15">
        <f>-'4. Custos'!K8</f>
        <v>-299.82045026514044</v>
      </c>
      <c r="L7" s="15">
        <f>-'4. Custos'!L8</f>
        <v>-291.1682910175781</v>
      </c>
      <c r="M7" s="15">
        <f>-'4. Custos'!M8</f>
        <v>-292.22092531097576</v>
      </c>
      <c r="N7" s="15">
        <f>-'4. Custos'!N8</f>
        <v>-294.00711281001134</v>
      </c>
      <c r="O7" s="15">
        <f>-'4. Custos'!O8</f>
        <v>-293.83903998045696</v>
      </c>
      <c r="P7" s="15">
        <f>-'4. Custos'!P8</f>
        <v>-294.83167370762027</v>
      </c>
      <c r="Q7" s="15">
        <f>-'4. Custos'!Q8</f>
        <v>-295.69563174568719</v>
      </c>
      <c r="R7" s="15">
        <f>-'4. Custos'!R8</f>
        <v>-296.64843040618985</v>
      </c>
      <c r="S7" s="15">
        <f>-'4. Custos'!S8</f>
        <v>-298.63694542688455</v>
      </c>
      <c r="T7" s="15">
        <f>-'4. Custos'!T8</f>
        <v>-298.76405854552797</v>
      </c>
      <c r="U7" s="15">
        <f>-'4. Custos'!U8</f>
        <v>-299.6386006309981</v>
      </c>
      <c r="V7" s="15">
        <f>-'4. Custos'!V8</f>
        <v>-300.53860484727574</v>
      </c>
      <c r="W7" s="15">
        <f>-'4. Custos'!W8</f>
        <v>-301.91565748946357</v>
      </c>
      <c r="X7" s="15">
        <f>-'4. Custos'!X8</f>
        <v>-303.58084800021538</v>
      </c>
      <c r="Y7" s="15">
        <f>-'4. Custos'!Y8</f>
        <v>-303.52731610085817</v>
      </c>
      <c r="Z7" s="15">
        <f>-'4. Custos'!Z8</f>
        <v>-304.68745408649443</v>
      </c>
      <c r="AA7" s="15">
        <f>-'4. Custos'!AA8</f>
        <v>-306.1126475331896</v>
      </c>
      <c r="AB7" s="15">
        <f>-'4. Custos'!AB8</f>
        <v>-307.23666115737683</v>
      </c>
      <c r="AC7" s="15">
        <f>-'4. Custos'!AC8</f>
        <v>-309.20997553543583</v>
      </c>
      <c r="AD7" s="15">
        <f>-'4. Custos'!AD8</f>
        <v>-309.25493468379602</v>
      </c>
      <c r="AE7" s="15">
        <f>-'4. Custos'!AE8</f>
        <v>-310.27422575000867</v>
      </c>
      <c r="AF7" s="15">
        <f>-'4. Custos'!AF8</f>
        <v>-312.35414017672775</v>
      </c>
      <c r="AG7" s="15">
        <f>-'4. Custos'!AG8</f>
        <v>-328.79776711150441</v>
      </c>
    </row>
    <row r="8" spans="1:33" x14ac:dyDescent="0.35">
      <c r="A8" t="s">
        <v>184</v>
      </c>
      <c r="B8" t="s">
        <v>107</v>
      </c>
      <c r="D8" s="15">
        <f>D6+D7</f>
        <v>139.70188115698906</v>
      </c>
      <c r="E8" s="15">
        <f t="shared" ref="E8:AG8" si="0">E6+E7</f>
        <v>490.10149815629927</v>
      </c>
      <c r="F8" s="15">
        <f t="shared" si="0"/>
        <v>595.13498903007257</v>
      </c>
      <c r="G8" s="15">
        <f t="shared" si="0"/>
        <v>745.49192560738777</v>
      </c>
      <c r="H8" s="15">
        <f t="shared" si="0"/>
        <v>790.9958629984443</v>
      </c>
      <c r="I8" s="15">
        <f t="shared" si="0"/>
        <v>848.53091839447893</v>
      </c>
      <c r="J8" s="15">
        <f t="shared" si="0"/>
        <v>892.01295476965652</v>
      </c>
      <c r="K8" s="15">
        <f t="shared" si="0"/>
        <v>933.0495966453434</v>
      </c>
      <c r="L8" s="15">
        <f t="shared" si="0"/>
        <v>1047.0543391112078</v>
      </c>
      <c r="M8" s="15">
        <f t="shared" si="0"/>
        <v>1080.7136737099472</v>
      </c>
      <c r="N8" s="15">
        <f t="shared" si="0"/>
        <v>1114.5609940188551</v>
      </c>
      <c r="O8" s="15">
        <f t="shared" si="0"/>
        <v>1151.3698964202908</v>
      </c>
      <c r="P8" s="15">
        <f t="shared" si="0"/>
        <v>1187.9382125812242</v>
      </c>
      <c r="Q8" s="15">
        <f t="shared" si="0"/>
        <v>1225.4339714626001</v>
      </c>
      <c r="R8" s="15">
        <f t="shared" si="0"/>
        <v>1263.559572849796</v>
      </c>
      <c r="S8" s="15">
        <f t="shared" si="0"/>
        <v>1301.2960876738853</v>
      </c>
      <c r="T8" s="15">
        <f t="shared" si="0"/>
        <v>1341.469522737947</v>
      </c>
      <c r="U8" s="15">
        <f t="shared" si="0"/>
        <v>1381.4342034497995</v>
      </c>
      <c r="V8" s="15">
        <f t="shared" si="0"/>
        <v>1421.8481258052152</v>
      </c>
      <c r="W8" s="15">
        <f t="shared" si="0"/>
        <v>1462.2301147289895</v>
      </c>
      <c r="X8" s="15">
        <f t="shared" si="0"/>
        <v>1502.7266025922577</v>
      </c>
      <c r="Y8" s="15">
        <f t="shared" si="0"/>
        <v>1545.3224609113679</v>
      </c>
      <c r="Z8" s="15">
        <f t="shared" si="0"/>
        <v>1587.0568209224091</v>
      </c>
      <c r="AA8" s="15">
        <f t="shared" si="0"/>
        <v>1629.1989051602893</v>
      </c>
      <c r="AB8" s="15">
        <f t="shared" si="0"/>
        <v>1671.6407104199984</v>
      </c>
      <c r="AC8" s="15">
        <f t="shared" si="0"/>
        <v>1713.5455839534311</v>
      </c>
      <c r="AD8" s="15">
        <f t="shared" si="0"/>
        <v>1757.6424570880367</v>
      </c>
      <c r="AE8" s="15">
        <f t="shared" si="0"/>
        <v>1801.0136052152839</v>
      </c>
      <c r="AF8" s="15">
        <f t="shared" si="0"/>
        <v>1843.5304726725933</v>
      </c>
      <c r="AG8" s="15">
        <f t="shared" si="0"/>
        <v>1871.8754536084393</v>
      </c>
    </row>
    <row r="9" spans="1:33" x14ac:dyDescent="0.35">
      <c r="A9" t="s">
        <v>185</v>
      </c>
      <c r="B9" t="s">
        <v>39</v>
      </c>
      <c r="D9" s="15">
        <f>D8/D6</f>
        <v>0.39793168969328974</v>
      </c>
      <c r="E9" s="15">
        <f t="shared" ref="E9:AG9" si="1">E8/E6</f>
        <v>0.68585322280729855</v>
      </c>
      <c r="F9" s="15">
        <f t="shared" si="1"/>
        <v>0.7037280480764474</v>
      </c>
      <c r="G9" s="15">
        <f t="shared" si="1"/>
        <v>0.73854478836966908</v>
      </c>
      <c r="H9" s="15">
        <f t="shared" si="1"/>
        <v>0.74151839544998799</v>
      </c>
      <c r="I9" s="15">
        <f t="shared" si="1"/>
        <v>0.74968434303462039</v>
      </c>
      <c r="J9" s="15">
        <f t="shared" si="1"/>
        <v>0.75444737522374772</v>
      </c>
      <c r="K9" s="15">
        <f t="shared" si="1"/>
        <v>0.75681098667578406</v>
      </c>
      <c r="L9" s="15">
        <f t="shared" si="1"/>
        <v>0.78242163563654787</v>
      </c>
      <c r="M9" s="15">
        <f t="shared" si="1"/>
        <v>0.78715597558735395</v>
      </c>
      <c r="N9" s="15">
        <f t="shared" si="1"/>
        <v>0.79127234857538087</v>
      </c>
      <c r="O9" s="15">
        <f t="shared" si="1"/>
        <v>0.79668058190101221</v>
      </c>
      <c r="P9" s="15">
        <f t="shared" si="1"/>
        <v>0.8011615447319741</v>
      </c>
      <c r="Q9" s="15">
        <f t="shared" si="1"/>
        <v>0.80560786462769418</v>
      </c>
      <c r="R9" s="15">
        <f t="shared" si="1"/>
        <v>0.809866101322954</v>
      </c>
      <c r="S9" s="15">
        <f t="shared" si="1"/>
        <v>0.81334409675378261</v>
      </c>
      <c r="T9" s="15">
        <f t="shared" si="1"/>
        <v>0.81785273636956846</v>
      </c>
      <c r="U9" s="15">
        <f t="shared" si="1"/>
        <v>0.82175751109432826</v>
      </c>
      <c r="V9" s="15">
        <f t="shared" si="1"/>
        <v>0.82551038074159866</v>
      </c>
      <c r="W9" s="15">
        <f t="shared" si="1"/>
        <v>0.82886014169350763</v>
      </c>
      <c r="X9" s="15">
        <f t="shared" si="1"/>
        <v>0.8319329038361436</v>
      </c>
      <c r="Y9" s="15">
        <f t="shared" si="1"/>
        <v>0.83582910852207604</v>
      </c>
      <c r="Z9" s="15">
        <f t="shared" si="1"/>
        <v>0.83893835011867002</v>
      </c>
      <c r="AA9" s="15">
        <f t="shared" si="1"/>
        <v>0.84182771652080723</v>
      </c>
      <c r="AB9" s="15">
        <f t="shared" si="1"/>
        <v>0.84474194026865013</v>
      </c>
      <c r="AC9" s="15">
        <f t="shared" si="1"/>
        <v>0.84713428467176199</v>
      </c>
      <c r="AD9" s="15">
        <f t="shared" si="1"/>
        <v>0.85037721953933598</v>
      </c>
      <c r="AE9" s="15">
        <f t="shared" si="1"/>
        <v>0.85304030023791244</v>
      </c>
      <c r="AF9" s="15">
        <f t="shared" si="1"/>
        <v>0.85511555752331969</v>
      </c>
      <c r="AG9" s="15">
        <f t="shared" si="1"/>
        <v>0.85059218969187111</v>
      </c>
    </row>
    <row r="10" spans="1:33" x14ac:dyDescent="0.35">
      <c r="A10" t="s">
        <v>186</v>
      </c>
      <c r="B10" t="s">
        <v>107</v>
      </c>
      <c r="D10" s="15">
        <f>-'4. Custos'!D11</f>
        <v>0</v>
      </c>
      <c r="E10" s="15">
        <f>-'4. Custos'!E11</f>
        <v>-4.0048000000000004</v>
      </c>
      <c r="F10" s="15">
        <f>-'4. Custos'!F11</f>
        <v>-9.9295799999999996</v>
      </c>
      <c r="G10" s="15">
        <f>-'4. Custos'!G11</f>
        <v>-44.551099999999998</v>
      </c>
      <c r="H10" s="15">
        <f>-'4. Custos'!H11</f>
        <v>-76.451899999999995</v>
      </c>
      <c r="I10" s="15">
        <f>-'4. Custos'!I11</f>
        <v>-113.312</v>
      </c>
      <c r="J10" s="15">
        <f>-'4. Custos'!J11</f>
        <v>-147.90600000000001</v>
      </c>
      <c r="K10" s="15">
        <f>-'4. Custos'!K11</f>
        <v>-181.5</v>
      </c>
      <c r="L10" s="15">
        <f>-'4. Custos'!L11</f>
        <v>-227.279</v>
      </c>
      <c r="M10" s="15">
        <f>-'4. Custos'!M11</f>
        <v>-252.01400000000001</v>
      </c>
      <c r="N10" s="15">
        <f>-'4. Custos'!N11</f>
        <v>-272.33</v>
      </c>
      <c r="O10" s="15">
        <f>-'4. Custos'!O11</f>
        <v>-292.76499999999999</v>
      </c>
      <c r="P10" s="15">
        <f>-'4. Custos'!P11</f>
        <v>-313.572</v>
      </c>
      <c r="Q10" s="15">
        <f>-'4. Custos'!Q11</f>
        <v>-338.99200000000002</v>
      </c>
      <c r="R10" s="15">
        <f>-'4. Custos'!R11</f>
        <v>-359.803</v>
      </c>
      <c r="S10" s="15">
        <f>-'4. Custos'!S11</f>
        <v>-386.74799999999999</v>
      </c>
      <c r="T10" s="15">
        <f>-'4. Custos'!T11</f>
        <v>-417.47300000000001</v>
      </c>
      <c r="U10" s="15">
        <f>-'4. Custos'!U11</f>
        <v>-460.13299999999998</v>
      </c>
      <c r="V10" s="15">
        <f>-'4. Custos'!V11</f>
        <v>-501.75200000000001</v>
      </c>
      <c r="W10" s="15">
        <f>-'4. Custos'!W11</f>
        <v>-541.697</v>
      </c>
      <c r="X10" s="15">
        <f>-'4. Custos'!X11</f>
        <v>-587.22</v>
      </c>
      <c r="Y10" s="15">
        <f>-'4. Custos'!Y11</f>
        <v>-635.53399999999999</v>
      </c>
      <c r="Z10" s="15">
        <f>-'4. Custos'!Z11</f>
        <v>-682.58100000000002</v>
      </c>
      <c r="AA10" s="15">
        <f>-'4. Custos'!AA11</f>
        <v>-750.97299999999996</v>
      </c>
      <c r="AB10" s="15">
        <f>-'4. Custos'!AB11</f>
        <v>-818.11599999999999</v>
      </c>
      <c r="AC10" s="15">
        <f>-'4. Custos'!AC11</f>
        <v>-908.67100000000005</v>
      </c>
      <c r="AD10" s="15">
        <f>-'4. Custos'!AD11</f>
        <v>-1002.48</v>
      </c>
      <c r="AE10" s="15">
        <f>-'4. Custos'!AE11</f>
        <v>-1125.32</v>
      </c>
      <c r="AF10" s="15">
        <f>-'4. Custos'!AF11</f>
        <v>-1291.26</v>
      </c>
      <c r="AG10" s="15">
        <f>-'4. Custos'!AG11</f>
        <v>-1594.58</v>
      </c>
    </row>
    <row r="11" spans="1:33" x14ac:dyDescent="0.35">
      <c r="A11" t="s">
        <v>187</v>
      </c>
      <c r="B11" t="s">
        <v>107</v>
      </c>
      <c r="D11" s="15">
        <f>D8+D10</f>
        <v>139.70188115698906</v>
      </c>
      <c r="E11" s="15">
        <f t="shared" ref="E11:AG11" si="2">E8+E10</f>
        <v>486.09669815629928</v>
      </c>
      <c r="F11" s="15">
        <f t="shared" si="2"/>
        <v>585.20540903007259</v>
      </c>
      <c r="G11" s="15">
        <f t="shared" si="2"/>
        <v>700.94082560738775</v>
      </c>
      <c r="H11" s="15">
        <f t="shared" si="2"/>
        <v>714.54396299844427</v>
      </c>
      <c r="I11" s="15">
        <f t="shared" si="2"/>
        <v>735.21891839447892</v>
      </c>
      <c r="J11" s="15">
        <f t="shared" si="2"/>
        <v>744.10695476965657</v>
      </c>
      <c r="K11" s="15">
        <f t="shared" si="2"/>
        <v>751.5495966453434</v>
      </c>
      <c r="L11" s="15">
        <f t="shared" si="2"/>
        <v>819.77533911120781</v>
      </c>
      <c r="M11" s="15">
        <f t="shared" si="2"/>
        <v>828.69967370994721</v>
      </c>
      <c r="N11" s="15">
        <f t="shared" si="2"/>
        <v>842.2309940188552</v>
      </c>
      <c r="O11" s="15">
        <f t="shared" si="2"/>
        <v>858.60489642029086</v>
      </c>
      <c r="P11" s="15">
        <f t="shared" si="2"/>
        <v>874.3662125812242</v>
      </c>
      <c r="Q11" s="15">
        <f t="shared" si="2"/>
        <v>886.44197146260012</v>
      </c>
      <c r="R11" s="15">
        <f t="shared" si="2"/>
        <v>903.75657284979604</v>
      </c>
      <c r="S11" s="15">
        <f t="shared" si="2"/>
        <v>914.54808767388522</v>
      </c>
      <c r="T11" s="15">
        <f t="shared" si="2"/>
        <v>923.99652273794709</v>
      </c>
      <c r="U11" s="15">
        <f t="shared" si="2"/>
        <v>921.30120344979946</v>
      </c>
      <c r="V11" s="15">
        <f t="shared" si="2"/>
        <v>920.09612580521525</v>
      </c>
      <c r="W11" s="15">
        <f t="shared" si="2"/>
        <v>920.53311472898952</v>
      </c>
      <c r="X11" s="15">
        <f t="shared" si="2"/>
        <v>915.50660259225765</v>
      </c>
      <c r="Y11" s="15">
        <f t="shared" si="2"/>
        <v>909.78846091136791</v>
      </c>
      <c r="Z11" s="15">
        <f t="shared" si="2"/>
        <v>904.47582092240907</v>
      </c>
      <c r="AA11" s="15">
        <f t="shared" si="2"/>
        <v>878.22590516028936</v>
      </c>
      <c r="AB11" s="15">
        <f t="shared" si="2"/>
        <v>853.52471041999843</v>
      </c>
      <c r="AC11" s="15">
        <f t="shared" si="2"/>
        <v>804.87458395343106</v>
      </c>
      <c r="AD11" s="15">
        <f t="shared" si="2"/>
        <v>755.16245708803672</v>
      </c>
      <c r="AE11" s="15">
        <f t="shared" si="2"/>
        <v>675.69360521528392</v>
      </c>
      <c r="AF11" s="15">
        <f t="shared" si="2"/>
        <v>552.27047267259331</v>
      </c>
      <c r="AG11" s="15">
        <f t="shared" si="2"/>
        <v>277.2954536084394</v>
      </c>
    </row>
    <row r="12" spans="1:33" x14ac:dyDescent="0.35">
      <c r="A12" t="s">
        <v>188</v>
      </c>
      <c r="B12" t="s">
        <v>107</v>
      </c>
      <c r="D12" s="15">
        <f>-MAX(0,D11)*'1. Premissas'!$B$13</f>
        <v>-47.498639593376282</v>
      </c>
      <c r="E12" s="15">
        <f>-MAX(0,E11)*'1. Premissas'!$B$13</f>
        <v>-165.27287737314177</v>
      </c>
      <c r="F12" s="15">
        <f>-MAX(0,F11)*'1. Premissas'!$B$13</f>
        <v>-198.96983907022471</v>
      </c>
      <c r="G12" s="15">
        <f>-MAX(0,G11)*'1. Premissas'!$B$13</f>
        <v>-238.31988070651184</v>
      </c>
      <c r="H12" s="15">
        <f>-MAX(0,H11)*'1. Premissas'!$B$13</f>
        <v>-242.94494741947108</v>
      </c>
      <c r="I12" s="15">
        <f>-MAX(0,I11)*'1. Premissas'!$B$13</f>
        <v>-249.97443225412286</v>
      </c>
      <c r="J12" s="15">
        <f>-MAX(0,J11)*'1. Premissas'!$B$13</f>
        <v>-252.99636462168326</v>
      </c>
      <c r="K12" s="15">
        <f>-MAX(0,K11)*'1. Premissas'!$B$13</f>
        <v>-255.52686285941678</v>
      </c>
      <c r="L12" s="15">
        <f>-MAX(0,L11)*'1. Premissas'!$B$13</f>
        <v>-278.72361529781068</v>
      </c>
      <c r="M12" s="15">
        <f>-MAX(0,M11)*'1. Premissas'!$B$13</f>
        <v>-281.75788906138206</v>
      </c>
      <c r="N12" s="15">
        <f>-MAX(0,N11)*'1. Premissas'!$B$13</f>
        <v>-286.35853796641078</v>
      </c>
      <c r="O12" s="15">
        <f>-MAX(0,O11)*'1. Premissas'!$B$13</f>
        <v>-291.92566478289893</v>
      </c>
      <c r="P12" s="15">
        <f>-MAX(0,P11)*'1. Premissas'!$B$13</f>
        <v>-297.28451227761627</v>
      </c>
      <c r="Q12" s="15">
        <f>-MAX(0,Q11)*'1. Premissas'!$B$13</f>
        <v>-301.39027029728408</v>
      </c>
      <c r="R12" s="15">
        <f>-MAX(0,R11)*'1. Premissas'!$B$13</f>
        <v>-307.27723476893067</v>
      </c>
      <c r="S12" s="15">
        <f>-MAX(0,S11)*'1. Premissas'!$B$13</f>
        <v>-310.94634980912099</v>
      </c>
      <c r="T12" s="15">
        <f>-MAX(0,T11)*'1. Premissas'!$B$13</f>
        <v>-314.15881773090206</v>
      </c>
      <c r="U12" s="15">
        <f>-MAX(0,U11)*'1. Premissas'!$B$13</f>
        <v>-313.24240917293184</v>
      </c>
      <c r="V12" s="15">
        <f>-MAX(0,V11)*'1. Premissas'!$B$13</f>
        <v>-312.83268277377323</v>
      </c>
      <c r="W12" s="15">
        <f>-MAX(0,W11)*'1. Premissas'!$B$13</f>
        <v>-312.98125900785647</v>
      </c>
      <c r="X12" s="15">
        <f>-MAX(0,X11)*'1. Premissas'!$B$13</f>
        <v>-311.27224488136761</v>
      </c>
      <c r="Y12" s="15">
        <f>-MAX(0,Y11)*'1. Premissas'!$B$13</f>
        <v>-309.32807670986512</v>
      </c>
      <c r="Z12" s="15">
        <f>-MAX(0,Z11)*'1. Premissas'!$B$13</f>
        <v>-307.52177911361912</v>
      </c>
      <c r="AA12" s="15">
        <f>-MAX(0,AA11)*'1. Premissas'!$B$13</f>
        <v>-298.5968077544984</v>
      </c>
      <c r="AB12" s="15">
        <f>-MAX(0,AB11)*'1. Premissas'!$B$13</f>
        <v>-290.1984015427995</v>
      </c>
      <c r="AC12" s="15">
        <f>-MAX(0,AC11)*'1. Premissas'!$B$13</f>
        <v>-273.65735854416658</v>
      </c>
      <c r="AD12" s="15">
        <f>-MAX(0,AD11)*'1. Premissas'!$B$13</f>
        <v>-256.75523540993248</v>
      </c>
      <c r="AE12" s="15">
        <f>-MAX(0,AE11)*'1. Premissas'!$B$13</f>
        <v>-229.73582577319655</v>
      </c>
      <c r="AF12" s="15">
        <f>-MAX(0,AF11)*'1. Premissas'!$B$13</f>
        <v>-187.77196070868175</v>
      </c>
      <c r="AG12" s="15">
        <f>-MAX(0,AG11)*'1. Premissas'!$B$13</f>
        <v>-94.280454226869409</v>
      </c>
    </row>
    <row r="13" spans="1:33" x14ac:dyDescent="0.35">
      <c r="A13" s="8" t="s">
        <v>189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x14ac:dyDescent="0.35">
      <c r="A14" t="s">
        <v>190</v>
      </c>
      <c r="B14" t="s">
        <v>107</v>
      </c>
      <c r="D14" s="15">
        <f>-Dados_MEF!D43*'3. Receita'!D$8</f>
        <v>-28.249700132719894</v>
      </c>
      <c r="E14" s="15">
        <f>-Dados_MEF!E43*'3. Receita'!E$8</f>
        <v>-34.937345516934208</v>
      </c>
      <c r="F14" s="15">
        <f>-Dados_MEF!F43*'3. Receita'!F$8</f>
        <v>-12.074236632951335</v>
      </c>
      <c r="G14" s="15">
        <f>-Dados_MEF!G43*'3. Receita'!G$8</f>
        <v>-15.986812891517717</v>
      </c>
      <c r="H14" s="15">
        <f>-Dados_MEF!H43*'3. Receita'!H$8</f>
        <v>-5.6749091486340513</v>
      </c>
      <c r="I14" s="15">
        <f>-Dados_MEF!I43*'3. Receita'!I$8</f>
        <v>-6.6172955177869914</v>
      </c>
      <c r="J14" s="15">
        <f>-Dados_MEF!J43*'3. Receita'!J$8</f>
        <v>-5.1808836369758158</v>
      </c>
      <c r="K14" s="15">
        <f>-Dados_MEF!K43*'3. Receita'!K$8</f>
        <v>-5.1032342994886468</v>
      </c>
      <c r="L14" s="15">
        <f>-Dados_MEF!L43*'3. Receita'!L$8</f>
        <v>-11.083316626127209</v>
      </c>
      <c r="M14" s="15">
        <f>-Dados_MEF!M43*'3. Receita'!M$8</f>
        <v>-5.5428836081033328</v>
      </c>
      <c r="N14" s="15">
        <f>-Dados_MEF!N43*'3. Receita'!N$8</f>
        <v>-3.6904018768810216</v>
      </c>
      <c r="O14" s="15">
        <f>-Dados_MEF!O43*'3. Receita'!O$8</f>
        <v>-3.8434815724236557</v>
      </c>
      <c r="P14" s="15">
        <f>-Dados_MEF!P43*'3. Receita'!P$8</f>
        <v>-3.9053664432411499</v>
      </c>
      <c r="Q14" s="15">
        <f>-Dados_MEF!Q43*'3. Receita'!Q$8</f>
        <v>-4.0522972496514891</v>
      </c>
      <c r="R14" s="15">
        <f>-Dados_MEF!R43*'3. Receita'!R$8</f>
        <v>-2.1853660025338466</v>
      </c>
      <c r="S14" s="15">
        <f>-Dados_MEF!S43*'3. Receita'!S$8</f>
        <v>-4.17449054461951</v>
      </c>
      <c r="T14" s="15">
        <f>-Dados_MEF!T43*'3. Receita'!T$8</f>
        <v>-4.3353702890735848</v>
      </c>
      <c r="U14" s="15">
        <f>-Dados_MEF!U43*'3. Receita'!U$8</f>
        <v>-4.5348542985903171</v>
      </c>
      <c r="V14" s="15">
        <f>-Dados_MEF!V43*'3. Receita'!V$8</f>
        <v>-4.5662636909501799</v>
      </c>
      <c r="W14" s="15">
        <f>-Dados_MEF!W43*'3. Receita'!W$8</f>
        <v>-4.5721660268122859</v>
      </c>
      <c r="X14" s="15">
        <f>-Dados_MEF!X43*'3. Receita'!X$8</f>
        <v>-4.6821437279391134</v>
      </c>
      <c r="Y14" s="15">
        <f>-Dados_MEF!Y43*'3. Receita'!Y$8</f>
        <v>-4.8050990966513556</v>
      </c>
      <c r="Z14" s="15">
        <f>-Dados_MEF!Z43*'3. Receita'!Z$8</f>
        <v>-4.7886547406608564</v>
      </c>
      <c r="AA14" s="15">
        <f>-Dados_MEF!AA43*'3. Receita'!AA$8</f>
        <v>-5.13370230663506</v>
      </c>
      <c r="AB14" s="15">
        <f>-Dados_MEF!AB43*'3. Receita'!AB$8</f>
        <v>-5.1381850933657738</v>
      </c>
      <c r="AC14" s="15">
        <f>-Dados_MEF!AC43*'3. Receita'!AC$8</f>
        <v>-5.4746481227506614</v>
      </c>
      <c r="AD14" s="15">
        <f>-Dados_MEF!AD43*'3. Receita'!AD$8</f>
        <v>-5.5999195979404393</v>
      </c>
      <c r="AE14" s="15">
        <f>-Dados_MEF!AE43*'3. Receita'!AE$8</f>
        <v>-6.0063141003244516</v>
      </c>
      <c r="AF14" s="15">
        <f>-Dados_MEF!AF43*'3. Receita'!AF$8</f>
        <v>-6.6059988952255946</v>
      </c>
      <c r="AG14" s="15">
        <f>-Dados_MEF!AG43*'3. Receita'!AG$8</f>
        <v>218.54556582684606</v>
      </c>
    </row>
    <row r="15" spans="1:33" x14ac:dyDescent="0.35">
      <c r="A15" t="s">
        <v>191</v>
      </c>
      <c r="B15" t="s">
        <v>107</v>
      </c>
      <c r="D15" s="15">
        <f>D8+D12+D14</f>
        <v>63.953541430892884</v>
      </c>
      <c r="E15" s="15">
        <f t="shared" ref="E15:AG15" si="3">E8+E12+E14</f>
        <v>289.89127526622326</v>
      </c>
      <c r="F15" s="15">
        <f t="shared" si="3"/>
        <v>384.09091332689655</v>
      </c>
      <c r="G15" s="15">
        <f t="shared" si="3"/>
        <v>491.18523200935817</v>
      </c>
      <c r="H15" s="15">
        <f t="shared" si="3"/>
        <v>542.3760064303392</v>
      </c>
      <c r="I15" s="15">
        <f t="shared" si="3"/>
        <v>591.93919062256919</v>
      </c>
      <c r="J15" s="15">
        <f t="shared" si="3"/>
        <v>633.8357065109974</v>
      </c>
      <c r="K15" s="15">
        <f t="shared" si="3"/>
        <v>672.41949948643799</v>
      </c>
      <c r="L15" s="15">
        <f t="shared" si="3"/>
        <v>757.24740718726991</v>
      </c>
      <c r="M15" s="15">
        <f t="shared" si="3"/>
        <v>793.41290104046186</v>
      </c>
      <c r="N15" s="15">
        <f t="shared" si="3"/>
        <v>824.51205417556343</v>
      </c>
      <c r="O15" s="15">
        <f t="shared" si="3"/>
        <v>855.60075006496822</v>
      </c>
      <c r="P15" s="15">
        <f t="shared" si="3"/>
        <v>886.74833386036676</v>
      </c>
      <c r="Q15" s="15">
        <f t="shared" si="3"/>
        <v>919.99140391566448</v>
      </c>
      <c r="R15" s="15">
        <f t="shared" si="3"/>
        <v>954.09697207833153</v>
      </c>
      <c r="S15" s="15">
        <f t="shared" si="3"/>
        <v>986.17524732014476</v>
      </c>
      <c r="T15" s="15">
        <f t="shared" si="3"/>
        <v>1022.9753347179715</v>
      </c>
      <c r="U15" s="15">
        <f t="shared" si="3"/>
        <v>1063.6569399782775</v>
      </c>
      <c r="V15" s="15">
        <f t="shared" si="3"/>
        <v>1104.4491793404918</v>
      </c>
      <c r="W15" s="15">
        <f t="shared" si="3"/>
        <v>1144.6766896943209</v>
      </c>
      <c r="X15" s="15">
        <f t="shared" si="3"/>
        <v>1186.7722139829509</v>
      </c>
      <c r="Y15" s="15">
        <f t="shared" si="3"/>
        <v>1231.1892851048515</v>
      </c>
      <c r="Z15" s="15">
        <f t="shared" si="3"/>
        <v>1274.7463870681293</v>
      </c>
      <c r="AA15" s="15">
        <f t="shared" si="3"/>
        <v>1325.4683950991559</v>
      </c>
      <c r="AB15" s="15">
        <f t="shared" si="3"/>
        <v>1376.3041237838331</v>
      </c>
      <c r="AC15" s="15">
        <f t="shared" si="3"/>
        <v>1434.4135772865138</v>
      </c>
      <c r="AD15" s="15">
        <f t="shared" si="3"/>
        <v>1495.2873020801637</v>
      </c>
      <c r="AE15" s="15">
        <f t="shared" si="3"/>
        <v>1565.2714653417627</v>
      </c>
      <c r="AF15" s="15">
        <f t="shared" si="3"/>
        <v>1649.1525130686859</v>
      </c>
      <c r="AG15" s="15">
        <f t="shared" si="3"/>
        <v>1996.1405652084161</v>
      </c>
    </row>
    <row r="16" spans="1:33" x14ac:dyDescent="0.35">
      <c r="A16" t="s">
        <v>192</v>
      </c>
      <c r="B16" t="s">
        <v>107</v>
      </c>
      <c r="D16" s="15">
        <f>-'4. Custos'!D10</f>
        <v>-463.00200000000001</v>
      </c>
      <c r="E16" s="15">
        <f>-'4. Custos'!E10</f>
        <v>-469.03199999999998</v>
      </c>
      <c r="F16" s="15">
        <f>-'4. Custos'!F10</f>
        <v>-2416.9899999999998</v>
      </c>
      <c r="G16" s="15">
        <f>-'4. Custos'!G10</f>
        <v>-1873.11</v>
      </c>
      <c r="H16" s="15">
        <f>-'4. Custos'!H10</f>
        <v>-1779.9</v>
      </c>
      <c r="I16" s="15">
        <f>-'4. Custos'!I10</f>
        <v>-1401.74</v>
      </c>
      <c r="J16" s="15">
        <f>-'4. Custos'!J10</f>
        <v>-1099.06</v>
      </c>
      <c r="K16" s="15">
        <f>-'4. Custos'!K10</f>
        <v>-1025.05</v>
      </c>
      <c r="L16" s="15">
        <f>-'4. Custos'!L10</f>
        <v>-289.81799999999998</v>
      </c>
      <c r="M16" s="15">
        <f>-'4. Custos'!M10</f>
        <v>-175.898</v>
      </c>
      <c r="N16" s="15">
        <f>-'4. Custos'!N10</f>
        <v>-122.759</v>
      </c>
      <c r="O16" s="15">
        <f>-'4. Custos'!O10</f>
        <v>-85.250500000000002</v>
      </c>
      <c r="P16" s="15">
        <f>-'4. Custos'!P10</f>
        <v>-171.42</v>
      </c>
      <c r="Q16" s="15">
        <f>-'4. Custos'!Q10</f>
        <v>-115.02800000000001</v>
      </c>
      <c r="R16" s="15">
        <f>-'4. Custos'!R10</f>
        <v>-112.94499999999999</v>
      </c>
      <c r="S16" s="15">
        <f>-'4. Custos'!S10</f>
        <v>-148.548</v>
      </c>
      <c r="T16" s="15">
        <f>-'4. Custos'!T10</f>
        <v>-324.50599999999997</v>
      </c>
      <c r="U16" s="15">
        <f>-'4. Custos'!U10</f>
        <v>-231.36699999999999</v>
      </c>
      <c r="V16" s="15">
        <f>-'4. Custos'!V10</f>
        <v>-145.548</v>
      </c>
      <c r="W16" s="15">
        <f>-'4. Custos'!W10</f>
        <v>-172.18299999999999</v>
      </c>
      <c r="X16" s="15">
        <f>-'4. Custos'!X10</f>
        <v>-153.352</v>
      </c>
      <c r="Y16" s="15">
        <f>-'4. Custos'!Y10</f>
        <v>-93.736500000000007</v>
      </c>
      <c r="Z16" s="15">
        <f>-'4. Custos'!Z10</f>
        <v>-236.48699999999999</v>
      </c>
      <c r="AA16" s="15">
        <f>-'4. Custos'!AA10</f>
        <v>-161.89599999999999</v>
      </c>
      <c r="AB16" s="15">
        <f>-'4. Custos'!AB10</f>
        <v>-241.88200000000001</v>
      </c>
      <c r="AC16" s="15">
        <f>-'4. Custos'!AC10</f>
        <v>-180.66300000000001</v>
      </c>
      <c r="AD16" s="15">
        <f>-'4. Custos'!AD10</f>
        <v>-207.76900000000001</v>
      </c>
      <c r="AE16" s="15">
        <f>-'4. Custos'!AE10</f>
        <v>-209.66200000000001</v>
      </c>
      <c r="AF16" s="15">
        <f>-'4. Custos'!AF10</f>
        <v>-113.20399999999999</v>
      </c>
      <c r="AG16" s="15">
        <f>-'4. Custos'!AG10</f>
        <v>-117.157</v>
      </c>
    </row>
    <row r="17" spans="1:33" x14ac:dyDescent="0.35">
      <c r="A17" t="s">
        <v>193</v>
      </c>
      <c r="B17" t="s">
        <v>107</v>
      </c>
      <c r="C17" s="22">
        <f>IRR(D17:AG17)</f>
        <v>7.7117609220106242E-2</v>
      </c>
      <c r="D17" s="15">
        <f>D15+D16</f>
        <v>-399.04845856910714</v>
      </c>
      <c r="E17" s="15">
        <f t="shared" ref="E17:AG17" si="4">E15+E16</f>
        <v>-179.14072473377672</v>
      </c>
      <c r="F17" s="15">
        <f t="shared" si="4"/>
        <v>-2032.8990866731033</v>
      </c>
      <c r="G17" s="15">
        <f t="shared" si="4"/>
        <v>-1381.9247679906416</v>
      </c>
      <c r="H17" s="15">
        <f t="shared" si="4"/>
        <v>-1237.5239935696609</v>
      </c>
      <c r="I17" s="15">
        <f t="shared" si="4"/>
        <v>-809.80080937743082</v>
      </c>
      <c r="J17" s="15">
        <f t="shared" si="4"/>
        <v>-465.22429348900255</v>
      </c>
      <c r="K17" s="15">
        <f t="shared" si="4"/>
        <v>-352.63050051356197</v>
      </c>
      <c r="L17" s="15">
        <f t="shared" si="4"/>
        <v>467.42940718726993</v>
      </c>
      <c r="M17" s="15">
        <f t="shared" si="4"/>
        <v>617.51490104046184</v>
      </c>
      <c r="N17" s="15">
        <f t="shared" si="4"/>
        <v>701.75305417556342</v>
      </c>
      <c r="O17" s="15">
        <f t="shared" si="4"/>
        <v>770.35025006496824</v>
      </c>
      <c r="P17" s="15">
        <f t="shared" si="4"/>
        <v>715.3283338603668</v>
      </c>
      <c r="Q17" s="15">
        <f t="shared" si="4"/>
        <v>804.96340391566446</v>
      </c>
      <c r="R17" s="15">
        <f t="shared" si="4"/>
        <v>841.15197207833148</v>
      </c>
      <c r="S17" s="15">
        <f t="shared" si="4"/>
        <v>837.62724732014476</v>
      </c>
      <c r="T17" s="15">
        <f t="shared" si="4"/>
        <v>698.46933471797149</v>
      </c>
      <c r="U17" s="15">
        <f t="shared" si="4"/>
        <v>832.28993997827752</v>
      </c>
      <c r="V17" s="15">
        <f t="shared" si="4"/>
        <v>958.90117934049181</v>
      </c>
      <c r="W17" s="15">
        <f t="shared" si="4"/>
        <v>972.49368969432089</v>
      </c>
      <c r="X17" s="15">
        <f t="shared" si="4"/>
        <v>1033.4202139829508</v>
      </c>
      <c r="Y17" s="15">
        <f t="shared" si="4"/>
        <v>1137.4527851048515</v>
      </c>
      <c r="Z17" s="15">
        <f t="shared" si="4"/>
        <v>1038.2593870681292</v>
      </c>
      <c r="AA17" s="15">
        <f t="shared" si="4"/>
        <v>1163.572395099156</v>
      </c>
      <c r="AB17" s="15">
        <f t="shared" si="4"/>
        <v>1134.4221237838331</v>
      </c>
      <c r="AC17" s="15">
        <f t="shared" si="4"/>
        <v>1253.7505772865138</v>
      </c>
      <c r="AD17" s="15">
        <f t="shared" si="4"/>
        <v>1287.5183020801637</v>
      </c>
      <c r="AE17" s="15">
        <f t="shared" si="4"/>
        <v>1355.6094653417626</v>
      </c>
      <c r="AF17" s="15">
        <f t="shared" si="4"/>
        <v>1535.948513068686</v>
      </c>
      <c r="AG17" s="15">
        <f t="shared" si="4"/>
        <v>1878.9835652084162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1"/>
  <sheetViews>
    <sheetView zoomScale="75" zoomScaleNormal="75" workbookViewId="0">
      <pane xSplit="3" ySplit="4" topLeftCell="D5" activePane="bottomRight" state="frozen"/>
      <selection pane="topRight"/>
      <selection pane="bottomLeft"/>
      <selection pane="bottomRight" activeCell="D15" sqref="D15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</cols>
  <sheetData>
    <row r="1" spans="1:33" ht="18.5" x14ac:dyDescent="0.45">
      <c r="A1" s="1" t="s">
        <v>25</v>
      </c>
    </row>
    <row r="2" spans="1:33" x14ac:dyDescent="0.35">
      <c r="A2" s="3" t="s">
        <v>194</v>
      </c>
    </row>
    <row r="4" spans="1:33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</row>
    <row r="5" spans="1:33" x14ac:dyDescent="0.35">
      <c r="A5" s="8" t="s">
        <v>195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35">
      <c r="A6" t="s">
        <v>196</v>
      </c>
      <c r="B6" t="s">
        <v>197</v>
      </c>
      <c r="D6" s="15">
        <f>IF(AND(D$4&gt;='1. Premissas'!$B$18,D$4&lt;='1. Premissas'!$B$19),1,0)</f>
        <v>0</v>
      </c>
      <c r="E6" s="15">
        <f>IF(AND(E$4&gt;='1. Premissas'!$B$18,E$4&lt;='1. Premissas'!$B$19),1,0)</f>
        <v>0</v>
      </c>
      <c r="F6" s="15">
        <f>IF(AND(F$4&gt;='1. Premissas'!$B$18,F$4&lt;='1. Premissas'!$B$19),1,0)</f>
        <v>0</v>
      </c>
      <c r="G6" s="15">
        <f>IF(AND(G$4&gt;='1. Premissas'!$B$18,G$4&lt;='1. Premissas'!$B$19),1,0)</f>
        <v>0</v>
      </c>
      <c r="H6" s="15">
        <f>IF(AND(H$4&gt;='1. Premissas'!$B$18,H$4&lt;='1. Premissas'!$B$19),1,0)</f>
        <v>0</v>
      </c>
      <c r="I6" s="15">
        <f>IF(AND(I$4&gt;='1. Premissas'!$B$18,I$4&lt;='1. Premissas'!$B$19),1,0)</f>
        <v>0</v>
      </c>
      <c r="J6" s="15">
        <f>IF(AND(J$4&gt;='1. Premissas'!$B$18,J$4&lt;='1. Premissas'!$B$19),1,0)</f>
        <v>0</v>
      </c>
      <c r="K6" s="15">
        <f>IF(AND(K$4&gt;='1. Premissas'!$B$18,K$4&lt;='1. Premissas'!$B$19),1,0)</f>
        <v>0</v>
      </c>
      <c r="L6" s="15">
        <f>IF(AND(L$4&gt;='1. Premissas'!$B$18,L$4&lt;='1. Premissas'!$B$19),1,0)</f>
        <v>1</v>
      </c>
      <c r="M6" s="15">
        <f>IF(AND(M$4&gt;='1. Premissas'!$B$18,M$4&lt;='1. Premissas'!$B$19),1,0)</f>
        <v>1</v>
      </c>
      <c r="N6" s="15">
        <f>IF(AND(N$4&gt;='1. Premissas'!$B$18,N$4&lt;='1. Premissas'!$B$19),1,0)</f>
        <v>1</v>
      </c>
      <c r="O6" s="15">
        <f>IF(AND(O$4&gt;='1. Premissas'!$B$18,O$4&lt;='1. Premissas'!$B$19),1,0)</f>
        <v>1</v>
      </c>
      <c r="P6" s="15">
        <f>IF(AND(P$4&gt;='1. Premissas'!$B$18,P$4&lt;='1. Premissas'!$B$19),1,0)</f>
        <v>1</v>
      </c>
      <c r="Q6" s="15">
        <f>IF(AND(Q$4&gt;='1. Premissas'!$B$18,Q$4&lt;='1. Premissas'!$B$19),1,0)</f>
        <v>1</v>
      </c>
      <c r="R6" s="15">
        <f>IF(AND(R$4&gt;='1. Premissas'!$B$18,R$4&lt;='1. Premissas'!$B$19),1,0)</f>
        <v>1</v>
      </c>
      <c r="S6" s="15">
        <f>IF(AND(S$4&gt;='1. Premissas'!$B$18,S$4&lt;='1. Premissas'!$B$19),1,0)</f>
        <v>1</v>
      </c>
      <c r="T6" s="15">
        <f>IF(AND(T$4&gt;='1. Premissas'!$B$18,T$4&lt;='1. Premissas'!$B$19),1,0)</f>
        <v>1</v>
      </c>
      <c r="U6" s="15">
        <f>IF(AND(U$4&gt;='1. Premissas'!$B$18,U$4&lt;='1. Premissas'!$B$19),1,0)</f>
        <v>1</v>
      </c>
      <c r="V6" s="15">
        <f>IF(AND(V$4&gt;='1. Premissas'!$B$18,V$4&lt;='1. Premissas'!$B$19),1,0)</f>
        <v>1</v>
      </c>
      <c r="W6" s="15">
        <f>IF(AND(W$4&gt;='1. Premissas'!$B$18,W$4&lt;='1. Premissas'!$B$19),1,0)</f>
        <v>1</v>
      </c>
      <c r="X6" s="15">
        <f>IF(AND(X$4&gt;='1. Premissas'!$B$18,X$4&lt;='1. Premissas'!$B$19),1,0)</f>
        <v>1</v>
      </c>
      <c r="Y6" s="15">
        <f>IF(AND(Y$4&gt;='1. Premissas'!$B$18,Y$4&lt;='1. Premissas'!$B$19),1,0)</f>
        <v>1</v>
      </c>
      <c r="Z6" s="15">
        <f>IF(AND(Z$4&gt;='1. Premissas'!$B$18,Z$4&lt;='1. Premissas'!$B$19),1,0)</f>
        <v>1</v>
      </c>
      <c r="AA6" s="15">
        <f>IF(AND(AA$4&gt;='1. Premissas'!$B$18,AA$4&lt;='1. Premissas'!$B$19),1,0)</f>
        <v>1</v>
      </c>
      <c r="AB6" s="15">
        <f>IF(AND(AB$4&gt;='1. Premissas'!$B$18,AB$4&lt;='1. Premissas'!$B$19),1,0)</f>
        <v>0</v>
      </c>
      <c r="AC6" s="15">
        <f>IF(AND(AC$4&gt;='1. Premissas'!$B$18,AC$4&lt;='1. Premissas'!$B$19),1,0)</f>
        <v>0</v>
      </c>
      <c r="AD6" s="15">
        <f>IF(AND(AD$4&gt;='1. Premissas'!$B$18,AD$4&lt;='1. Premissas'!$B$19),1,0)</f>
        <v>0</v>
      </c>
      <c r="AE6" s="15">
        <f>IF(AND(AE$4&gt;='1. Premissas'!$B$18,AE$4&lt;='1. Premissas'!$B$19),1,0)</f>
        <v>0</v>
      </c>
      <c r="AF6" s="15">
        <f>IF(AND(AF$4&gt;='1. Premissas'!$B$18,AF$4&lt;='1. Premissas'!$B$19),1,0)</f>
        <v>0</v>
      </c>
      <c r="AG6" s="15">
        <f>IF(AND(AG$4&gt;='1. Premissas'!$B$18,AG$4&lt;='1. Premissas'!$B$19),1,0)</f>
        <v>0</v>
      </c>
    </row>
    <row r="7" spans="1:33" x14ac:dyDescent="0.35">
      <c r="A7" t="s">
        <v>198</v>
      </c>
      <c r="B7" t="s">
        <v>107</v>
      </c>
      <c r="D7" s="15">
        <f>'5. Caixa'!D15/'1. Premissas'!$B$17*D6</f>
        <v>0</v>
      </c>
      <c r="E7" s="15">
        <f>'5. Caixa'!E15/'1. Premissas'!$B$17*E6</f>
        <v>0</v>
      </c>
      <c r="F7" s="15">
        <f>'5. Caixa'!F15/'1. Premissas'!$B$17*F6</f>
        <v>0</v>
      </c>
      <c r="G7" s="15">
        <f>'5. Caixa'!G15/'1. Premissas'!$B$17*G6</f>
        <v>0</v>
      </c>
      <c r="H7" s="15">
        <f>'5. Caixa'!H15/'1. Premissas'!$B$17*H6</f>
        <v>0</v>
      </c>
      <c r="I7" s="15">
        <f>'5. Caixa'!I15/'1. Premissas'!$B$17*I6</f>
        <v>0</v>
      </c>
      <c r="J7" s="15">
        <f>'5. Caixa'!J15/'1. Premissas'!$B$17*J6</f>
        <v>0</v>
      </c>
      <c r="K7" s="15">
        <f>'5. Caixa'!K15/'1. Premissas'!$B$17*K6</f>
        <v>0</v>
      </c>
      <c r="L7" s="15">
        <f>'5. Caixa'!L15/'1. Premissas'!$B$17*L6</f>
        <v>582.49800552866918</v>
      </c>
      <c r="M7" s="15">
        <f>'5. Caixa'!M15/'1. Premissas'!$B$17*M6</f>
        <v>610.31761618497069</v>
      </c>
      <c r="N7" s="15">
        <f>'5. Caixa'!N15/'1. Premissas'!$B$17*N6</f>
        <v>634.24004167351029</v>
      </c>
      <c r="O7" s="15">
        <f>'5. Caixa'!O15/'1. Premissas'!$B$17*O6</f>
        <v>658.15442312689856</v>
      </c>
      <c r="P7" s="15">
        <f>'5. Caixa'!P15/'1. Premissas'!$B$17*P6</f>
        <v>682.11410296951283</v>
      </c>
      <c r="Q7" s="15">
        <f>'5. Caixa'!Q15/'1. Premissas'!$B$17*Q6</f>
        <v>707.68569531974185</v>
      </c>
      <c r="R7" s="15">
        <f>'5. Caixa'!R15/'1. Premissas'!$B$17*R6</f>
        <v>733.92074775256265</v>
      </c>
      <c r="S7" s="15">
        <f>'5. Caixa'!S15/'1. Premissas'!$B$17*S6</f>
        <v>758.59634409241903</v>
      </c>
      <c r="T7" s="15">
        <f>'5. Caixa'!T15/'1. Premissas'!$B$17*T6</f>
        <v>786.90410362920875</v>
      </c>
      <c r="U7" s="15">
        <f>'5. Caixa'!U15/'1. Premissas'!$B$17*U6</f>
        <v>818.19764613713653</v>
      </c>
      <c r="V7" s="15">
        <f>'5. Caixa'!V15/'1. Premissas'!$B$17*V6</f>
        <v>849.57629180037827</v>
      </c>
      <c r="W7" s="15">
        <f>'5. Caixa'!W15/'1. Premissas'!$B$17*W6</f>
        <v>880.52053053409293</v>
      </c>
      <c r="X7" s="15">
        <f>'5. Caixa'!X15/'1. Premissas'!$B$17*X6</f>
        <v>912.90170306380833</v>
      </c>
      <c r="Y7" s="15">
        <f>'5. Caixa'!Y15/'1. Premissas'!$B$17*Y6</f>
        <v>947.06868084988571</v>
      </c>
      <c r="Z7" s="15">
        <f>'5. Caixa'!Z15/'1. Premissas'!$B$17*Z6</f>
        <v>980.57414389856092</v>
      </c>
      <c r="AA7" s="15">
        <f>'5. Caixa'!AA15/'1. Premissas'!$B$17*AA6</f>
        <v>1019.5910731531968</v>
      </c>
      <c r="AB7" s="15">
        <f>'5. Caixa'!AB15/'1. Premissas'!$B$17*AB6</f>
        <v>0</v>
      </c>
      <c r="AC7" s="15">
        <f>'5. Caixa'!AC15/'1. Premissas'!$B$17*AC6</f>
        <v>0</v>
      </c>
      <c r="AD7" s="15">
        <f>'5. Caixa'!AD15/'1. Premissas'!$B$17*AD6</f>
        <v>0</v>
      </c>
      <c r="AE7" s="15">
        <f>'5. Caixa'!AE15/'1. Premissas'!$B$17*AE6</f>
        <v>0</v>
      </c>
      <c r="AF7" s="15">
        <f>'5. Caixa'!AF15/'1. Premissas'!$B$17*AF6</f>
        <v>0</v>
      </c>
      <c r="AG7" s="15">
        <f>'5. Caixa'!AG15/'1. Premissas'!$B$17*AG6</f>
        <v>0</v>
      </c>
    </row>
    <row r="8" spans="1:33" x14ac:dyDescent="0.35">
      <c r="A8" s="8" t="s">
        <v>199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pans="1:33" x14ac:dyDescent="0.35">
      <c r="A9" t="s">
        <v>200</v>
      </c>
      <c r="B9" t="s">
        <v>107</v>
      </c>
      <c r="D9">
        <f>0</f>
        <v>0</v>
      </c>
      <c r="E9" s="15">
        <f>D12</f>
        <v>292.16873134607232</v>
      </c>
      <c r="F9" s="15">
        <f t="shared" ref="F9:AG9" si="0">E12</f>
        <v>588.14258113659366</v>
      </c>
      <c r="G9" s="15">
        <f t="shared" si="0"/>
        <v>2113.3388048594788</v>
      </c>
      <c r="H9" s="15">
        <f t="shared" si="0"/>
        <v>3295.3297517055862</v>
      </c>
      <c r="I9" s="15">
        <f t="shared" si="0"/>
        <v>4418.5022756317767</v>
      </c>
      <c r="J9" s="15">
        <f t="shared" si="0"/>
        <v>5303.0440216221687</v>
      </c>
      <c r="K9" s="15">
        <f t="shared" si="0"/>
        <v>5996.5852285137462</v>
      </c>
      <c r="L9" s="15">
        <f t="shared" si="0"/>
        <v>6643.4238125075335</v>
      </c>
      <c r="M9" s="15">
        <f t="shared" si="0"/>
        <v>6579.1128643544516</v>
      </c>
      <c r="N9" s="15">
        <f t="shared" si="0"/>
        <v>6481.9660515891283</v>
      </c>
      <c r="O9" s="15">
        <f t="shared" si="0"/>
        <v>6353.3193619395697</v>
      </c>
      <c r="P9" s="15">
        <f t="shared" si="0"/>
        <v>6190.7238490439577</v>
      </c>
      <c r="Q9" s="15">
        <f t="shared" si="0"/>
        <v>5991.4862062998736</v>
      </c>
      <c r="R9" s="15">
        <f t="shared" si="0"/>
        <v>5751.1364350715221</v>
      </c>
      <c r="S9" s="15">
        <f t="shared" si="0"/>
        <v>5465.8043292545381</v>
      </c>
      <c r="T9" s="15">
        <f t="shared" si="0"/>
        <v>5133.5407228439726</v>
      </c>
      <c r="U9" s="15">
        <f t="shared" si="0"/>
        <v>4747.0527955965936</v>
      </c>
      <c r="V9" s="15">
        <f t="shared" si="0"/>
        <v>4299.1252675159913</v>
      </c>
      <c r="W9" s="15">
        <f t="shared" si="0"/>
        <v>3784.8807465818604</v>
      </c>
      <c r="X9" s="15">
        <f t="shared" si="0"/>
        <v>3199.5809142811527</v>
      </c>
      <c r="Y9" s="15">
        <f t="shared" si="0"/>
        <v>2536.2465225312744</v>
      </c>
      <c r="Z9" s="15">
        <f t="shared" si="0"/>
        <v>1787.0050704388282</v>
      </c>
      <c r="AA9" s="15">
        <f t="shared" si="0"/>
        <v>945.81732203449587</v>
      </c>
      <c r="AB9" s="15">
        <f t="shared" si="0"/>
        <v>0</v>
      </c>
      <c r="AC9" s="15">
        <f t="shared" si="0"/>
        <v>0</v>
      </c>
      <c r="AD9" s="15">
        <f t="shared" si="0"/>
        <v>0</v>
      </c>
      <c r="AE9" s="15">
        <f t="shared" si="0"/>
        <v>0</v>
      </c>
      <c r="AF9" s="15">
        <f t="shared" si="0"/>
        <v>0</v>
      </c>
      <c r="AG9" s="15">
        <f t="shared" si="0"/>
        <v>0</v>
      </c>
    </row>
    <row r="10" spans="1:33" x14ac:dyDescent="0.35">
      <c r="A10" t="s">
        <v>201</v>
      </c>
      <c r="B10" t="s">
        <v>107</v>
      </c>
      <c r="D10" s="15">
        <f>IF(D$4&lt;'1. Premissas'!$B$18,$C$20*'4. Custos'!D10,0)</f>
        <v>292.16873134607232</v>
      </c>
      <c r="E10" s="15">
        <f>IF(E$4&lt;'1. Premissas'!$B$18,$C$20*'4. Custos'!E10,0)</f>
        <v>295.97384979052134</v>
      </c>
      <c r="F10" s="15">
        <f>IF(F$4&lt;'1. Premissas'!$B$18,$C$20*'4. Custos'!F10,0)</f>
        <v>1525.196223722885</v>
      </c>
      <c r="G10" s="15">
        <f>IF(G$4&lt;'1. Premissas'!$B$18,$C$20*'4. Custos'!G10,0)</f>
        <v>1181.9909468461074</v>
      </c>
      <c r="H10" s="15">
        <f>IF(H$4&lt;'1. Premissas'!$B$18,$C$20*'4. Custos'!H10,0)</f>
        <v>1123.1725239261907</v>
      </c>
      <c r="I10" s="15">
        <f>IF(I$4&lt;'1. Premissas'!$B$18,$C$20*'4. Custos'!I10,0)</f>
        <v>884.54174599039175</v>
      </c>
      <c r="J10" s="15">
        <f>IF(J$4&lt;'1. Premissas'!$B$18,$C$20*'4. Custos'!J10,0)</f>
        <v>693.54120689157753</v>
      </c>
      <c r="K10" s="15">
        <f>IF(K$4&lt;'1. Premissas'!$B$18,$C$20*'4. Custos'!K10,0)</f>
        <v>646.8385839937871</v>
      </c>
      <c r="L10" s="15">
        <f>IF(L$4&lt;'1. Premissas'!$B$18,$C$20*'4. Custos'!L10,0)</f>
        <v>0</v>
      </c>
      <c r="M10" s="15">
        <f>IF(M$4&lt;'1. Premissas'!$B$18,$C$20*'4. Custos'!M10,0)</f>
        <v>0</v>
      </c>
      <c r="N10" s="15">
        <f>IF(N$4&lt;'1. Premissas'!$B$18,$C$20*'4. Custos'!N10,0)</f>
        <v>0</v>
      </c>
      <c r="O10" s="15">
        <f>IF(O$4&lt;'1. Premissas'!$B$18,$C$20*'4. Custos'!O10,0)</f>
        <v>0</v>
      </c>
      <c r="P10" s="15">
        <f>IF(P$4&lt;'1. Premissas'!$B$18,$C$20*'4. Custos'!P10,0)</f>
        <v>0</v>
      </c>
      <c r="Q10" s="15">
        <f>IF(Q$4&lt;'1. Premissas'!$B$18,$C$20*'4. Custos'!Q10,0)</f>
        <v>0</v>
      </c>
      <c r="R10" s="15">
        <f>IF(R$4&lt;'1. Premissas'!$B$18,$C$20*'4. Custos'!R10,0)</f>
        <v>0</v>
      </c>
      <c r="S10" s="15">
        <f>IF(S$4&lt;'1. Premissas'!$B$18,$C$20*'4. Custos'!S10,0)</f>
        <v>0</v>
      </c>
      <c r="T10" s="15">
        <f>IF(T$4&lt;'1. Premissas'!$B$18,$C$20*'4. Custos'!T10,0)</f>
        <v>0</v>
      </c>
      <c r="U10" s="15">
        <f>IF(U$4&lt;'1. Premissas'!$B$18,$C$20*'4. Custos'!U10,0)</f>
        <v>0</v>
      </c>
      <c r="V10" s="15">
        <f>IF(V$4&lt;'1. Premissas'!$B$18,$C$20*'4. Custos'!V10,0)</f>
        <v>0</v>
      </c>
      <c r="W10" s="15">
        <f>IF(W$4&lt;'1. Premissas'!$B$18,$C$20*'4. Custos'!W10,0)</f>
        <v>0</v>
      </c>
      <c r="X10" s="15">
        <f>IF(X$4&lt;'1. Premissas'!$B$18,$C$20*'4. Custos'!X10,0)</f>
        <v>0</v>
      </c>
      <c r="Y10" s="15">
        <f>IF(Y$4&lt;'1. Premissas'!$B$18,$C$20*'4. Custos'!Y10,0)</f>
        <v>0</v>
      </c>
      <c r="Z10" s="15">
        <f>IF(Z$4&lt;'1. Premissas'!$B$18,$C$20*'4. Custos'!Z10,0)</f>
        <v>0</v>
      </c>
      <c r="AA10" s="15">
        <f>IF(AA$4&lt;'1. Premissas'!$B$18,$C$20*'4. Custos'!AA10,0)</f>
        <v>0</v>
      </c>
      <c r="AB10" s="15">
        <f>IF(AB$4&lt;'1. Premissas'!$B$18,$C$20*'4. Custos'!AB10,0)</f>
        <v>0</v>
      </c>
      <c r="AC10" s="15">
        <f>IF(AC$4&lt;'1. Premissas'!$B$18,$C$20*'4. Custos'!AC10,0)</f>
        <v>0</v>
      </c>
      <c r="AD10" s="15">
        <f>IF(AD$4&lt;'1. Premissas'!$B$18,$C$20*'4. Custos'!AD10,0)</f>
        <v>0</v>
      </c>
      <c r="AE10" s="15">
        <f>IF(AE$4&lt;'1. Premissas'!$B$18,$C$20*'4. Custos'!AE10,0)</f>
        <v>0</v>
      </c>
      <c r="AF10" s="15">
        <f>IF(AF$4&lt;'1. Premissas'!$B$18,$C$20*'4. Custos'!AF10,0)</f>
        <v>0</v>
      </c>
      <c r="AG10" s="15">
        <f>IF(AG$4&lt;'1. Premissas'!$B$18,$C$20*'4. Custos'!AG10,0)</f>
        <v>0</v>
      </c>
    </row>
    <row r="11" spans="1:33" x14ac:dyDescent="0.35">
      <c r="A11" t="s">
        <v>186</v>
      </c>
      <c r="B11" t="s">
        <v>107</v>
      </c>
      <c r="D11" s="15">
        <f>IF(D6=1,MIN(D9+D10,MAX(0,D7-D13)),0)</f>
        <v>0</v>
      </c>
      <c r="E11" s="15">
        <f t="shared" ref="E11:AG11" si="1">IF(E6=1,MIN(E9+E10,MAX(0,E7-E13)),0)</f>
        <v>0</v>
      </c>
      <c r="F11" s="15">
        <f t="shared" si="1"/>
        <v>0</v>
      </c>
      <c r="G11" s="15">
        <f t="shared" si="1"/>
        <v>0</v>
      </c>
      <c r="H11" s="15">
        <f t="shared" si="1"/>
        <v>0</v>
      </c>
      <c r="I11" s="15">
        <f t="shared" si="1"/>
        <v>0</v>
      </c>
      <c r="J11" s="15">
        <f t="shared" si="1"/>
        <v>0</v>
      </c>
      <c r="K11" s="15">
        <f t="shared" si="1"/>
        <v>0</v>
      </c>
      <c r="L11" s="15">
        <f t="shared" si="1"/>
        <v>64.31094815308154</v>
      </c>
      <c r="M11" s="15">
        <f t="shared" si="1"/>
        <v>97.146812765323489</v>
      </c>
      <c r="N11" s="15">
        <f t="shared" si="1"/>
        <v>128.64668964955831</v>
      </c>
      <c r="O11" s="15">
        <f t="shared" si="1"/>
        <v>162.5955128956121</v>
      </c>
      <c r="P11" s="15">
        <f t="shared" si="1"/>
        <v>199.23764274408416</v>
      </c>
      <c r="Q11" s="15">
        <f t="shared" si="1"/>
        <v>240.3497712283517</v>
      </c>
      <c r="R11" s="15">
        <f t="shared" si="1"/>
        <v>285.33210581698393</v>
      </c>
      <c r="S11" s="15">
        <f t="shared" si="1"/>
        <v>332.26360641056505</v>
      </c>
      <c r="T11" s="15">
        <f t="shared" si="1"/>
        <v>386.48792724737888</v>
      </c>
      <c r="U11" s="15">
        <f t="shared" si="1"/>
        <v>447.92752808060226</v>
      </c>
      <c r="V11" s="15">
        <f t="shared" si="1"/>
        <v>514.24452093413095</v>
      </c>
      <c r="W11" s="15">
        <f t="shared" si="1"/>
        <v>585.29983230070775</v>
      </c>
      <c r="X11" s="15">
        <f t="shared" si="1"/>
        <v>663.33439174987848</v>
      </c>
      <c r="Y11" s="15">
        <f t="shared" si="1"/>
        <v>749.24145209244625</v>
      </c>
      <c r="Z11" s="15">
        <f t="shared" si="1"/>
        <v>841.1877484043323</v>
      </c>
      <c r="AA11" s="15">
        <f t="shared" si="1"/>
        <v>945.81732203449587</v>
      </c>
      <c r="AB11" s="15">
        <f t="shared" si="1"/>
        <v>0</v>
      </c>
      <c r="AC11" s="15">
        <f t="shared" si="1"/>
        <v>0</v>
      </c>
      <c r="AD11" s="15">
        <f t="shared" si="1"/>
        <v>0</v>
      </c>
      <c r="AE11" s="15">
        <f t="shared" si="1"/>
        <v>0</v>
      </c>
      <c r="AF11" s="15">
        <f t="shared" si="1"/>
        <v>0</v>
      </c>
      <c r="AG11" s="15">
        <f t="shared" si="1"/>
        <v>0</v>
      </c>
    </row>
    <row r="12" spans="1:33" x14ac:dyDescent="0.35">
      <c r="A12" t="s">
        <v>202</v>
      </c>
      <c r="B12" t="s">
        <v>107</v>
      </c>
      <c r="D12" s="15">
        <f>D9+D10-D11</f>
        <v>292.16873134607232</v>
      </c>
      <c r="E12" s="15">
        <f>E9+E10-E11</f>
        <v>588.14258113659366</v>
      </c>
      <c r="F12" s="15">
        <f t="shared" ref="F12:AG12" si="2">F9+F10-F11</f>
        <v>2113.3388048594788</v>
      </c>
      <c r="G12" s="15">
        <f t="shared" si="2"/>
        <v>3295.3297517055862</v>
      </c>
      <c r="H12" s="15">
        <f t="shared" si="2"/>
        <v>4418.5022756317767</v>
      </c>
      <c r="I12" s="15">
        <f t="shared" si="2"/>
        <v>5303.0440216221687</v>
      </c>
      <c r="J12" s="15">
        <f t="shared" si="2"/>
        <v>5996.5852285137462</v>
      </c>
      <c r="K12" s="15">
        <f t="shared" si="2"/>
        <v>6643.4238125075335</v>
      </c>
      <c r="L12" s="15">
        <f t="shared" si="2"/>
        <v>6579.1128643544516</v>
      </c>
      <c r="M12" s="15">
        <f t="shared" si="2"/>
        <v>6481.9660515891283</v>
      </c>
      <c r="N12" s="15">
        <f t="shared" si="2"/>
        <v>6353.3193619395697</v>
      </c>
      <c r="O12" s="15">
        <f t="shared" si="2"/>
        <v>6190.7238490439577</v>
      </c>
      <c r="P12" s="15">
        <f t="shared" si="2"/>
        <v>5991.4862062998736</v>
      </c>
      <c r="Q12" s="15">
        <f t="shared" si="2"/>
        <v>5751.1364350715221</v>
      </c>
      <c r="R12" s="15">
        <f t="shared" si="2"/>
        <v>5465.8043292545381</v>
      </c>
      <c r="S12" s="15">
        <f t="shared" si="2"/>
        <v>5133.5407228439726</v>
      </c>
      <c r="T12" s="15">
        <f t="shared" si="2"/>
        <v>4747.0527955965936</v>
      </c>
      <c r="U12" s="15">
        <f t="shared" si="2"/>
        <v>4299.1252675159913</v>
      </c>
      <c r="V12" s="15">
        <f t="shared" si="2"/>
        <v>3784.8807465818604</v>
      </c>
      <c r="W12" s="15">
        <f t="shared" si="2"/>
        <v>3199.5809142811527</v>
      </c>
      <c r="X12" s="15">
        <f t="shared" si="2"/>
        <v>2536.2465225312744</v>
      </c>
      <c r="Y12" s="15">
        <f t="shared" si="2"/>
        <v>1787.0050704388282</v>
      </c>
      <c r="Z12" s="15">
        <f t="shared" si="2"/>
        <v>945.81732203449587</v>
      </c>
      <c r="AA12" s="15">
        <f t="shared" si="2"/>
        <v>0</v>
      </c>
      <c r="AB12" s="15">
        <f t="shared" si="2"/>
        <v>0</v>
      </c>
      <c r="AC12" s="15">
        <f t="shared" si="2"/>
        <v>0</v>
      </c>
      <c r="AD12" s="15">
        <f t="shared" si="2"/>
        <v>0</v>
      </c>
      <c r="AE12" s="15">
        <f t="shared" si="2"/>
        <v>0</v>
      </c>
      <c r="AF12" s="15">
        <f t="shared" si="2"/>
        <v>0</v>
      </c>
      <c r="AG12" s="15">
        <f t="shared" si="2"/>
        <v>0</v>
      </c>
    </row>
    <row r="13" spans="1:33" x14ac:dyDescent="0.35">
      <c r="A13" t="s">
        <v>203</v>
      </c>
      <c r="B13" t="s">
        <v>107</v>
      </c>
      <c r="D13" s="15">
        <f>D9*$C$17</f>
        <v>0</v>
      </c>
      <c r="E13" s="15">
        <f>E9*$C$17</f>
        <v>22.789161044993641</v>
      </c>
      <c r="F13" s="15">
        <f t="shared" ref="F13:AG13" si="3">F9*$C$17</f>
        <v>45.875121328654309</v>
      </c>
      <c r="G13" s="15">
        <f t="shared" si="3"/>
        <v>164.84042677903935</v>
      </c>
      <c r="H13" s="15">
        <f t="shared" si="3"/>
        <v>257.03572063303574</v>
      </c>
      <c r="I13" s="15">
        <f t="shared" si="3"/>
        <v>344.64317749927858</v>
      </c>
      <c r="J13" s="15">
        <f t="shared" si="3"/>
        <v>413.63743368652916</v>
      </c>
      <c r="K13" s="15">
        <f t="shared" si="3"/>
        <v>467.73364782407219</v>
      </c>
      <c r="L13" s="15">
        <f t="shared" si="3"/>
        <v>518.18705737558764</v>
      </c>
      <c r="M13" s="15">
        <f t="shared" si="3"/>
        <v>513.1708034196472</v>
      </c>
      <c r="N13" s="15">
        <f t="shared" si="3"/>
        <v>505.59335202395198</v>
      </c>
      <c r="O13" s="15">
        <f t="shared" si="3"/>
        <v>495.55891023128646</v>
      </c>
      <c r="P13" s="15">
        <f t="shared" si="3"/>
        <v>482.87646022542867</v>
      </c>
      <c r="Q13" s="15">
        <f t="shared" si="3"/>
        <v>467.33592409139015</v>
      </c>
      <c r="R13" s="15">
        <f t="shared" si="3"/>
        <v>448.58864193557872</v>
      </c>
      <c r="S13" s="15">
        <f t="shared" si="3"/>
        <v>426.33273768185398</v>
      </c>
      <c r="T13" s="15">
        <f t="shared" si="3"/>
        <v>400.41617638182987</v>
      </c>
      <c r="U13" s="15">
        <f t="shared" si="3"/>
        <v>370.27011805653427</v>
      </c>
      <c r="V13" s="15">
        <f t="shared" si="3"/>
        <v>335.33177086624733</v>
      </c>
      <c r="W13" s="15">
        <f t="shared" si="3"/>
        <v>295.22069823338512</v>
      </c>
      <c r="X13" s="15">
        <f t="shared" si="3"/>
        <v>249.56731131392991</v>
      </c>
      <c r="Y13" s="15">
        <f t="shared" si="3"/>
        <v>197.8272287574394</v>
      </c>
      <c r="Z13" s="15">
        <f t="shared" si="3"/>
        <v>139.38639549422859</v>
      </c>
      <c r="AA13" s="15">
        <f t="shared" si="3"/>
        <v>73.773751118690683</v>
      </c>
      <c r="AB13" s="15">
        <f t="shared" si="3"/>
        <v>0</v>
      </c>
      <c r="AC13" s="15">
        <f t="shared" si="3"/>
        <v>0</v>
      </c>
      <c r="AD13" s="15">
        <f t="shared" si="3"/>
        <v>0</v>
      </c>
      <c r="AE13" s="15">
        <f t="shared" si="3"/>
        <v>0</v>
      </c>
      <c r="AF13" s="15">
        <f t="shared" si="3"/>
        <v>0</v>
      </c>
      <c r="AG13" s="15">
        <f t="shared" si="3"/>
        <v>0</v>
      </c>
    </row>
    <row r="14" spans="1:33" x14ac:dyDescent="0.35">
      <c r="A14" t="s">
        <v>204</v>
      </c>
      <c r="B14" t="s">
        <v>107</v>
      </c>
      <c r="D14" s="15">
        <f>D13+D11</f>
        <v>0</v>
      </c>
      <c r="E14" s="15">
        <f>E13+E11</f>
        <v>22.789161044993641</v>
      </c>
      <c r="F14" s="15">
        <f t="shared" ref="F14:AG14" si="4">F13+F11</f>
        <v>45.875121328654309</v>
      </c>
      <c r="G14" s="15">
        <f t="shared" si="4"/>
        <v>164.84042677903935</v>
      </c>
      <c r="H14" s="15">
        <f t="shared" si="4"/>
        <v>257.03572063303574</v>
      </c>
      <c r="I14" s="15">
        <f t="shared" si="4"/>
        <v>344.64317749927858</v>
      </c>
      <c r="J14" s="15">
        <f t="shared" si="4"/>
        <v>413.63743368652916</v>
      </c>
      <c r="K14" s="15">
        <f t="shared" si="4"/>
        <v>467.73364782407219</v>
      </c>
      <c r="L14" s="15">
        <f t="shared" si="4"/>
        <v>582.49800552866918</v>
      </c>
      <c r="M14" s="15">
        <f t="shared" si="4"/>
        <v>610.31761618497069</v>
      </c>
      <c r="N14" s="15">
        <f t="shared" si="4"/>
        <v>634.24004167351029</v>
      </c>
      <c r="O14" s="15">
        <f t="shared" si="4"/>
        <v>658.15442312689856</v>
      </c>
      <c r="P14" s="15">
        <f t="shared" si="4"/>
        <v>682.11410296951283</v>
      </c>
      <c r="Q14" s="15">
        <f t="shared" si="4"/>
        <v>707.68569531974185</v>
      </c>
      <c r="R14" s="15">
        <f t="shared" si="4"/>
        <v>733.92074775256265</v>
      </c>
      <c r="S14" s="15">
        <f t="shared" si="4"/>
        <v>758.59634409241903</v>
      </c>
      <c r="T14" s="15">
        <f t="shared" si="4"/>
        <v>786.90410362920875</v>
      </c>
      <c r="U14" s="15">
        <f t="shared" si="4"/>
        <v>818.19764613713653</v>
      </c>
      <c r="V14" s="15">
        <f t="shared" si="4"/>
        <v>849.57629180037827</v>
      </c>
      <c r="W14" s="15">
        <f t="shared" si="4"/>
        <v>880.52053053409281</v>
      </c>
      <c r="X14" s="15">
        <f t="shared" si="4"/>
        <v>912.90170306380833</v>
      </c>
      <c r="Y14" s="15">
        <f t="shared" si="4"/>
        <v>947.0686808498856</v>
      </c>
      <c r="Z14" s="15">
        <f t="shared" si="4"/>
        <v>980.57414389856092</v>
      </c>
      <c r="AA14" s="15">
        <f t="shared" si="4"/>
        <v>1019.5910731531866</v>
      </c>
      <c r="AB14" s="15">
        <f t="shared" si="4"/>
        <v>0</v>
      </c>
      <c r="AC14" s="15">
        <f t="shared" si="4"/>
        <v>0</v>
      </c>
      <c r="AD14" s="15">
        <f t="shared" si="4"/>
        <v>0</v>
      </c>
      <c r="AE14" s="15">
        <f t="shared" si="4"/>
        <v>0</v>
      </c>
      <c r="AF14" s="15">
        <f t="shared" si="4"/>
        <v>0</v>
      </c>
      <c r="AG14" s="15">
        <f t="shared" si="4"/>
        <v>0</v>
      </c>
    </row>
    <row r="15" spans="1:33" x14ac:dyDescent="0.35">
      <c r="A15" t="s">
        <v>205</v>
      </c>
      <c r="B15" t="s">
        <v>61</v>
      </c>
      <c r="D15" s="15" t="str">
        <f>IF(D14&gt;0,'5. Caixa'!D15/D14,"")</f>
        <v/>
      </c>
      <c r="E15" s="15">
        <f>IF(E14&gt;0,'5. Caixa'!E15/E14,"")</f>
        <v>12.720576887138504</v>
      </c>
      <c r="F15" s="15">
        <f>IF(F14&gt;0,'5. Caixa'!F15/F14,"")</f>
        <v>8.3725318255885988</v>
      </c>
      <c r="G15" s="15">
        <f>IF(G14&gt;0,'5. Caixa'!G15/G14,"")</f>
        <v>2.9797619528598305</v>
      </c>
      <c r="H15" s="15">
        <f>IF(H14&gt;0,'5. Caixa'!H15/H14,"")</f>
        <v>2.1101191892494877</v>
      </c>
      <c r="I15" s="15">
        <f>IF(I14&gt;0,'5. Caixa'!I15/I14,"")</f>
        <v>1.7175421690272927</v>
      </c>
      <c r="J15" s="15">
        <f>IF(J14&gt;0,'5. Caixa'!J15/J14,"")</f>
        <v>1.532346095617988</v>
      </c>
      <c r="K15" s="15">
        <f>IF(K14&gt;0,'5. Caixa'!K15/K14,"")</f>
        <v>1.437611988392492</v>
      </c>
      <c r="L15" s="15">
        <f>IF(L14&gt;0,'5. Caixa'!L15/L14,"")</f>
        <v>1.3</v>
      </c>
      <c r="M15" s="15">
        <f>IF(M14&gt;0,'5. Caixa'!M15/M14,"")</f>
        <v>1.3</v>
      </c>
      <c r="N15" s="15">
        <f>IF(N14&gt;0,'5. Caixa'!N15/N14,"")</f>
        <v>1.3</v>
      </c>
      <c r="O15" s="15">
        <f>IF(O14&gt;0,'5. Caixa'!O15/O14,"")</f>
        <v>1.3</v>
      </c>
      <c r="P15" s="15">
        <f>IF(P14&gt;0,'5. Caixa'!P15/P14,"")</f>
        <v>1.3</v>
      </c>
      <c r="Q15" s="15">
        <f>IF(Q14&gt;0,'5. Caixa'!Q15/Q14,"")</f>
        <v>1.3</v>
      </c>
      <c r="R15" s="15">
        <f>IF(R14&gt;0,'5. Caixa'!R15/R14,"")</f>
        <v>1.3</v>
      </c>
      <c r="S15" s="15">
        <f>IF(S14&gt;0,'5. Caixa'!S15/S14,"")</f>
        <v>1.3</v>
      </c>
      <c r="T15" s="15">
        <f>IF(T14&gt;0,'5. Caixa'!T15/T14,"")</f>
        <v>1.3</v>
      </c>
      <c r="U15" s="15">
        <f>IF(U14&gt;0,'5. Caixa'!U15/U14,"")</f>
        <v>1.3</v>
      </c>
      <c r="V15" s="15">
        <f>IF(V14&gt;0,'5. Caixa'!V15/V14,"")</f>
        <v>1.3</v>
      </c>
      <c r="W15" s="15">
        <f>IF(W14&gt;0,'5. Caixa'!W15/W14,"")</f>
        <v>1.3000000000000003</v>
      </c>
      <c r="X15" s="15">
        <f>IF(X14&gt;0,'5. Caixa'!X15/X14,"")</f>
        <v>1.3</v>
      </c>
      <c r="Y15" s="15">
        <f>IF(Y14&gt;0,'5. Caixa'!Y15/Y14,"")</f>
        <v>1.3000000000000003</v>
      </c>
      <c r="Z15" s="15">
        <f>IF(Z14&gt;0,'5. Caixa'!Z15/Z14,"")</f>
        <v>1.3</v>
      </c>
      <c r="AA15" s="15">
        <f>IF(AA14&gt;0,'5. Caixa'!AA15/AA14,"")</f>
        <v>1.3000000000000131</v>
      </c>
      <c r="AB15" s="15" t="str">
        <f>IF(AB14&gt;0,'5. Caixa'!AB15/AB14,"")</f>
        <v/>
      </c>
      <c r="AC15" s="15" t="str">
        <f>IF(AC14&gt;0,'5. Caixa'!AC15/AC14,"")</f>
        <v/>
      </c>
      <c r="AD15" s="15" t="str">
        <f>IF(AD14&gt;0,'5. Caixa'!AD15/AD14,"")</f>
        <v/>
      </c>
      <c r="AE15" s="15" t="str">
        <f>IF(AE14&gt;0,'5. Caixa'!AE15/AE14,"")</f>
        <v/>
      </c>
      <c r="AF15" s="15" t="str">
        <f>IF(AF14&gt;0,'5. Caixa'!AF15/AF14,"")</f>
        <v/>
      </c>
      <c r="AG15" s="15" t="str">
        <f>IF(AG14&gt;0,'5. Caixa'!AG15/AG14,"")</f>
        <v/>
      </c>
    </row>
    <row r="17" spans="1:3" x14ac:dyDescent="0.35">
      <c r="A17" t="s">
        <v>219</v>
      </c>
      <c r="C17" s="22">
        <f>'1. Premissas'!$B$16+'2. Cenários'!$E$8</f>
        <v>7.8E-2</v>
      </c>
    </row>
    <row r="18" spans="1:3" x14ac:dyDescent="0.35">
      <c r="A18" t="s">
        <v>220</v>
      </c>
      <c r="C18">
        <f>NPV(C17,D7:AG7)*(1+C17)^('1. Premissas'!$B$18-1)</f>
        <v>6643.4238125075317</v>
      </c>
    </row>
    <row r="19" spans="1:3" x14ac:dyDescent="0.35">
      <c r="A19" t="s">
        <v>221</v>
      </c>
      <c r="C19">
        <f>SUMIF(D4:AG4,"&lt;"&amp;'1. Premissas'!$B$18,'4. Custos'!D10:AG10)</f>
        <v>10527.883999999998</v>
      </c>
    </row>
    <row r="20" spans="1:3" x14ac:dyDescent="0.35">
      <c r="A20" t="s">
        <v>222</v>
      </c>
      <c r="C20">
        <f>MIN('1. Premissas'!$B$20,C18/C19)</f>
        <v>0.63103125115241898</v>
      </c>
    </row>
    <row r="21" spans="1:3" x14ac:dyDescent="0.35">
      <c r="A21" t="s">
        <v>223</v>
      </c>
      <c r="C21">
        <f>C20*C19</f>
        <v>6643.4238125075326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7"/>
  <sheetViews>
    <sheetView zoomScale="89" workbookViewId="0">
      <pane xSplit="3" ySplit="4" topLeftCell="D5" activePane="bottomRight" state="frozen"/>
      <selection pane="topRight"/>
      <selection pane="bottomLeft"/>
      <selection pane="bottomRight" activeCell="A4" sqref="A4"/>
    </sheetView>
  </sheetViews>
  <sheetFormatPr defaultRowHeight="14.5" x14ac:dyDescent="0.35"/>
  <cols>
    <col min="1" max="1" width="46" customWidth="1"/>
    <col min="2" max="2" width="14" customWidth="1"/>
    <col min="3" max="3" width="12" customWidth="1"/>
    <col min="4" max="33" width="10" customWidth="1"/>
  </cols>
  <sheetData>
    <row r="1" spans="1:33" ht="18.5" x14ac:dyDescent="0.45">
      <c r="A1" s="1" t="s">
        <v>27</v>
      </c>
    </row>
    <row r="2" spans="1:33" x14ac:dyDescent="0.35">
      <c r="A2" s="3" t="s">
        <v>206</v>
      </c>
    </row>
    <row r="4" spans="1:33" x14ac:dyDescent="0.35">
      <c r="A4" s="7" t="s">
        <v>89</v>
      </c>
      <c r="B4" s="7" t="s">
        <v>35</v>
      </c>
      <c r="C4" s="7" t="s">
        <v>90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</row>
    <row r="5" spans="1:33" x14ac:dyDescent="0.35">
      <c r="A5" s="8" t="s">
        <v>207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pans="1:33" x14ac:dyDescent="0.35">
      <c r="A6" t="s">
        <v>208</v>
      </c>
      <c r="B6" t="s">
        <v>107</v>
      </c>
      <c r="D6" s="15">
        <f>'5. Caixa'!D17</f>
        <v>-399.04845856910714</v>
      </c>
      <c r="E6" s="15">
        <f>'5. Caixa'!E17</f>
        <v>-179.14072473377672</v>
      </c>
      <c r="F6" s="15">
        <f>'5. Caixa'!F17</f>
        <v>-2032.8990866731033</v>
      </c>
      <c r="G6" s="15">
        <f>'5. Caixa'!G17</f>
        <v>-1381.9247679906416</v>
      </c>
      <c r="H6" s="15">
        <f>'5. Caixa'!H17</f>
        <v>-1237.5239935696609</v>
      </c>
      <c r="I6" s="15">
        <f>'5. Caixa'!I17</f>
        <v>-809.80080937743082</v>
      </c>
      <c r="J6" s="15">
        <f>'5. Caixa'!J17</f>
        <v>-465.22429348900255</v>
      </c>
      <c r="K6" s="15">
        <f>'5. Caixa'!K17</f>
        <v>-352.63050051356197</v>
      </c>
      <c r="L6" s="15">
        <f>'5. Caixa'!L17</f>
        <v>467.42940718726993</v>
      </c>
      <c r="M6" s="15">
        <f>'5. Caixa'!M17</f>
        <v>617.51490104046184</v>
      </c>
      <c r="N6" s="15">
        <f>'5. Caixa'!N17</f>
        <v>701.75305417556342</v>
      </c>
      <c r="O6" s="15">
        <f>'5. Caixa'!O17</f>
        <v>770.35025006496824</v>
      </c>
      <c r="P6" s="15">
        <f>'5. Caixa'!P17</f>
        <v>715.3283338603668</v>
      </c>
      <c r="Q6" s="15">
        <f>'5. Caixa'!Q17</f>
        <v>804.96340391566446</v>
      </c>
      <c r="R6" s="15">
        <f>'5. Caixa'!R17</f>
        <v>841.15197207833148</v>
      </c>
      <c r="S6" s="15">
        <f>'5. Caixa'!S17</f>
        <v>837.62724732014476</v>
      </c>
      <c r="T6" s="15">
        <f>'5. Caixa'!T17</f>
        <v>698.46933471797149</v>
      </c>
      <c r="U6" s="15">
        <f>'5. Caixa'!U17</f>
        <v>832.28993997827752</v>
      </c>
      <c r="V6" s="15">
        <f>'5. Caixa'!V17</f>
        <v>958.90117934049181</v>
      </c>
      <c r="W6" s="15">
        <f>'5. Caixa'!W17</f>
        <v>972.49368969432089</v>
      </c>
      <c r="X6" s="15">
        <f>'5. Caixa'!X17</f>
        <v>1033.4202139829508</v>
      </c>
      <c r="Y6" s="15">
        <f>'5. Caixa'!Y17</f>
        <v>1137.4527851048515</v>
      </c>
      <c r="Z6" s="15">
        <f>'5. Caixa'!Z17</f>
        <v>1038.2593870681292</v>
      </c>
      <c r="AA6" s="15">
        <f>'5. Caixa'!AA17</f>
        <v>1163.572395099156</v>
      </c>
      <c r="AB6" s="15">
        <f>'5. Caixa'!AB17</f>
        <v>1134.4221237838331</v>
      </c>
      <c r="AC6" s="15">
        <f>'5. Caixa'!AC17</f>
        <v>1253.7505772865138</v>
      </c>
      <c r="AD6" s="15">
        <f>'5. Caixa'!AD17</f>
        <v>1287.5183020801637</v>
      </c>
      <c r="AE6" s="15">
        <f>'5. Caixa'!AE17</f>
        <v>1355.6094653417626</v>
      </c>
      <c r="AF6" s="15">
        <f>'5. Caixa'!AF17</f>
        <v>1535.948513068686</v>
      </c>
      <c r="AG6" s="15">
        <f>'5. Caixa'!AG17</f>
        <v>1878.9835652084162</v>
      </c>
    </row>
    <row r="7" spans="1:33" x14ac:dyDescent="0.35">
      <c r="A7" t="s">
        <v>209</v>
      </c>
      <c r="B7" t="s">
        <v>107</v>
      </c>
      <c r="D7" s="15">
        <f>'6. Dívida'!D10</f>
        <v>292.16873134607232</v>
      </c>
      <c r="E7" s="15">
        <f>'6. Dívida'!E10</f>
        <v>295.97384979052134</v>
      </c>
      <c r="F7" s="15">
        <f>'6. Dívida'!F10</f>
        <v>1525.196223722885</v>
      </c>
      <c r="G7" s="15">
        <f>'6. Dívida'!G10</f>
        <v>1181.9909468461074</v>
      </c>
      <c r="H7" s="15">
        <f>'6. Dívida'!H10</f>
        <v>1123.1725239261907</v>
      </c>
      <c r="I7" s="15">
        <f>'6. Dívida'!I10</f>
        <v>884.54174599039175</v>
      </c>
      <c r="J7" s="15">
        <f>'6. Dívida'!J10</f>
        <v>693.54120689157753</v>
      </c>
      <c r="K7" s="15">
        <f>'6. Dívida'!K10</f>
        <v>646.8385839937871</v>
      </c>
      <c r="L7" s="15">
        <f>'6. Dívida'!L10</f>
        <v>0</v>
      </c>
      <c r="M7" s="15">
        <f>'6. Dívida'!M10</f>
        <v>0</v>
      </c>
      <c r="N7" s="15">
        <f>'6. Dívida'!N10</f>
        <v>0</v>
      </c>
      <c r="O7" s="15">
        <f>'6. Dívida'!O10</f>
        <v>0</v>
      </c>
      <c r="P7" s="15">
        <f>'6. Dívida'!P10</f>
        <v>0</v>
      </c>
      <c r="Q7" s="15">
        <f>'6. Dívida'!Q10</f>
        <v>0</v>
      </c>
      <c r="R7" s="15">
        <f>'6. Dívida'!R10</f>
        <v>0</v>
      </c>
      <c r="S7" s="15">
        <f>'6. Dívida'!S10</f>
        <v>0</v>
      </c>
      <c r="T7" s="15">
        <f>'6. Dívida'!T10</f>
        <v>0</v>
      </c>
      <c r="U7" s="15">
        <f>'6. Dívida'!U10</f>
        <v>0</v>
      </c>
      <c r="V7" s="15">
        <f>'6. Dívida'!V10</f>
        <v>0</v>
      </c>
      <c r="W7" s="15">
        <f>'6. Dívida'!W10</f>
        <v>0</v>
      </c>
      <c r="X7" s="15">
        <f>'6. Dívida'!X10</f>
        <v>0</v>
      </c>
      <c r="Y7" s="15">
        <f>'6. Dívida'!Y10</f>
        <v>0</v>
      </c>
      <c r="Z7" s="15">
        <f>'6. Dívida'!Z10</f>
        <v>0</v>
      </c>
      <c r="AA7" s="15">
        <f>'6. Dívida'!AA10</f>
        <v>0</v>
      </c>
      <c r="AB7" s="15">
        <f>'6. Dívida'!AB10</f>
        <v>0</v>
      </c>
      <c r="AC7" s="15">
        <f>'6. Dívida'!AC10</f>
        <v>0</v>
      </c>
      <c r="AD7" s="15">
        <f>'6. Dívida'!AD10</f>
        <v>0</v>
      </c>
      <c r="AE7" s="15">
        <f>'6. Dívida'!AE10</f>
        <v>0</v>
      </c>
      <c r="AF7" s="15">
        <f>'6. Dívida'!AF10</f>
        <v>0</v>
      </c>
      <c r="AG7" s="15">
        <f>'6. Dívida'!AG10</f>
        <v>0</v>
      </c>
    </row>
    <row r="8" spans="1:33" x14ac:dyDescent="0.35">
      <c r="A8" t="s">
        <v>210</v>
      </c>
      <c r="B8" t="s">
        <v>107</v>
      </c>
      <c r="D8" s="15">
        <f>-'6. Dívida'!D14</f>
        <v>0</v>
      </c>
      <c r="E8" s="15">
        <f>-'6. Dívida'!E14</f>
        <v>-22.789161044993641</v>
      </c>
      <c r="F8" s="15">
        <f>-'6. Dívida'!F14</f>
        <v>-45.875121328654309</v>
      </c>
      <c r="G8" s="15">
        <f>-'6. Dívida'!G14</f>
        <v>-164.84042677903935</v>
      </c>
      <c r="H8" s="15">
        <f>-'6. Dívida'!H14</f>
        <v>-257.03572063303574</v>
      </c>
      <c r="I8" s="15">
        <f>-'6. Dívida'!I14</f>
        <v>-344.64317749927858</v>
      </c>
      <c r="J8" s="15">
        <f>-'6. Dívida'!J14</f>
        <v>-413.63743368652916</v>
      </c>
      <c r="K8" s="15">
        <f>-'6. Dívida'!K14</f>
        <v>-467.73364782407219</v>
      </c>
      <c r="L8" s="15">
        <f>-'6. Dívida'!L14</f>
        <v>-582.49800552866918</v>
      </c>
      <c r="M8" s="15">
        <f>-'6. Dívida'!M14</f>
        <v>-610.31761618497069</v>
      </c>
      <c r="N8" s="15">
        <f>-'6. Dívida'!N14</f>
        <v>-634.24004167351029</v>
      </c>
      <c r="O8" s="15">
        <f>-'6. Dívida'!O14</f>
        <v>-658.15442312689856</v>
      </c>
      <c r="P8" s="15">
        <f>-'6. Dívida'!P14</f>
        <v>-682.11410296951283</v>
      </c>
      <c r="Q8" s="15">
        <f>-'6. Dívida'!Q14</f>
        <v>-707.68569531974185</v>
      </c>
      <c r="R8" s="15">
        <f>-'6. Dívida'!R14</f>
        <v>-733.92074775256265</v>
      </c>
      <c r="S8" s="15">
        <f>-'6. Dívida'!S14</f>
        <v>-758.59634409241903</v>
      </c>
      <c r="T8" s="15">
        <f>-'6. Dívida'!T14</f>
        <v>-786.90410362920875</v>
      </c>
      <c r="U8" s="15">
        <f>-'6. Dívida'!U14</f>
        <v>-818.19764613713653</v>
      </c>
      <c r="V8" s="15">
        <f>-'6. Dívida'!V14</f>
        <v>-849.57629180037827</v>
      </c>
      <c r="W8" s="15">
        <f>-'6. Dívida'!W14</f>
        <v>-880.52053053409281</v>
      </c>
      <c r="X8" s="15">
        <f>-'6. Dívida'!X14</f>
        <v>-912.90170306380833</v>
      </c>
      <c r="Y8" s="15">
        <f>-'6. Dívida'!Y14</f>
        <v>-947.0686808498856</v>
      </c>
      <c r="Z8" s="15">
        <f>-'6. Dívida'!Z14</f>
        <v>-980.57414389856092</v>
      </c>
      <c r="AA8" s="15">
        <f>-'6. Dívida'!AA14</f>
        <v>-1019.5910731531866</v>
      </c>
      <c r="AB8" s="15">
        <f>-'6. Dívida'!AB14</f>
        <v>0</v>
      </c>
      <c r="AC8" s="15">
        <f>-'6. Dívida'!AC14</f>
        <v>0</v>
      </c>
      <c r="AD8" s="15">
        <f>-'6. Dívida'!AD14</f>
        <v>0</v>
      </c>
      <c r="AE8" s="15">
        <f>-'6. Dívida'!AE14</f>
        <v>0</v>
      </c>
      <c r="AF8" s="15">
        <f>-'6. Dívida'!AF14</f>
        <v>0</v>
      </c>
      <c r="AG8" s="15">
        <f>-'6. Dívida'!AG14</f>
        <v>0</v>
      </c>
    </row>
    <row r="9" spans="1:33" x14ac:dyDescent="0.35">
      <c r="A9" t="s">
        <v>211</v>
      </c>
      <c r="B9" t="s">
        <v>107</v>
      </c>
      <c r="D9" s="15">
        <f>MIN('6. Dívida'!D13,MAX(0,'5. Caixa'!D11))*'1. Premissas'!$B$13</f>
        <v>0</v>
      </c>
      <c r="E9" s="15">
        <f>MIN('6. Dívida'!E13,MAX(0,'5. Caixa'!E11))*'1. Premissas'!$B$13</f>
        <v>7.7483147552978382</v>
      </c>
      <c r="F9" s="15">
        <f>MIN('6. Dívida'!F13,MAX(0,'5. Caixa'!F11))*'1. Premissas'!$B$13</f>
        <v>15.597541251742467</v>
      </c>
      <c r="G9" s="15">
        <f>MIN('6. Dívida'!G13,MAX(0,'5. Caixa'!G11))*'1. Premissas'!$B$13</f>
        <v>56.045745104873383</v>
      </c>
      <c r="H9" s="15">
        <f>MIN('6. Dívida'!H13,MAX(0,'5. Caixa'!H11))*'1. Premissas'!$B$13</f>
        <v>87.39214501523216</v>
      </c>
      <c r="I9" s="15">
        <f>MIN('6. Dívida'!I13,MAX(0,'5. Caixa'!I11))*'1. Premissas'!$B$13</f>
        <v>117.17868034975473</v>
      </c>
      <c r="J9" s="15">
        <f>MIN('6. Dívida'!J13,MAX(0,'5. Caixa'!J11))*'1. Premissas'!$B$13</f>
        <v>140.63672745341992</v>
      </c>
      <c r="K9" s="15">
        <f>MIN('6. Dívida'!K13,MAX(0,'5. Caixa'!K11))*'1. Premissas'!$B$13</f>
        <v>159.02944026018454</v>
      </c>
      <c r="L9" s="15">
        <f>MIN('6. Dívida'!L13,MAX(0,'5. Caixa'!L11))*'1. Premissas'!$B$13</f>
        <v>176.18359950769982</v>
      </c>
      <c r="M9" s="15">
        <f>MIN('6. Dívida'!M13,MAX(0,'5. Caixa'!M11))*'1. Premissas'!$B$13</f>
        <v>174.47807316268006</v>
      </c>
      <c r="N9" s="15">
        <f>MIN('6. Dívida'!N13,MAX(0,'5. Caixa'!N11))*'1. Premissas'!$B$13</f>
        <v>171.90173968814369</v>
      </c>
      <c r="O9" s="15">
        <f>MIN('6. Dívida'!O13,MAX(0,'5. Caixa'!O11))*'1. Premissas'!$B$13</f>
        <v>168.49002947863741</v>
      </c>
      <c r="P9" s="15">
        <f>MIN('6. Dívida'!P13,MAX(0,'5. Caixa'!P11))*'1. Premissas'!$B$13</f>
        <v>164.17799647664577</v>
      </c>
      <c r="Q9" s="15">
        <f>MIN('6. Dívida'!Q13,MAX(0,'5. Caixa'!Q11))*'1. Premissas'!$B$13</f>
        <v>158.89421419107268</v>
      </c>
      <c r="R9" s="15">
        <f>MIN('6. Dívida'!R13,MAX(0,'5. Caixa'!R11))*'1. Premissas'!$B$13</f>
        <v>152.52013825809678</v>
      </c>
      <c r="S9" s="15">
        <f>MIN('6. Dívida'!S13,MAX(0,'5. Caixa'!S11))*'1. Premissas'!$B$13</f>
        <v>144.95313081183036</v>
      </c>
      <c r="T9" s="15">
        <f>MIN('6. Dívida'!T13,MAX(0,'5. Caixa'!T11))*'1. Premissas'!$B$13</f>
        <v>136.14149996982218</v>
      </c>
      <c r="U9" s="15">
        <f>MIN('6. Dívida'!U13,MAX(0,'5. Caixa'!U11))*'1. Premissas'!$B$13</f>
        <v>125.89184013922166</v>
      </c>
      <c r="V9" s="15">
        <f>MIN('6. Dívida'!V13,MAX(0,'5. Caixa'!V11))*'1. Premissas'!$B$13</f>
        <v>114.0128020945241</v>
      </c>
      <c r="W9" s="15">
        <f>MIN('6. Dívida'!W13,MAX(0,'5. Caixa'!W11))*'1. Premissas'!$B$13</f>
        <v>100.37503739935094</v>
      </c>
      <c r="X9" s="15">
        <f>MIN('6. Dívida'!X13,MAX(0,'5. Caixa'!X11))*'1. Premissas'!$B$13</f>
        <v>84.852885846736172</v>
      </c>
      <c r="Y9" s="15">
        <f>MIN('6. Dívida'!Y13,MAX(0,'5. Caixa'!Y11))*'1. Premissas'!$B$13</f>
        <v>67.261257777529394</v>
      </c>
      <c r="Z9" s="15">
        <f>MIN('6. Dívida'!Z13,MAX(0,'5. Caixa'!Z11))*'1. Premissas'!$B$13</f>
        <v>47.391374468037725</v>
      </c>
      <c r="AA9" s="15">
        <f>MIN('6. Dívida'!AA13,MAX(0,'5. Caixa'!AA11))*'1. Premissas'!$B$13</f>
        <v>25.083075380354835</v>
      </c>
      <c r="AB9" s="15">
        <f>MIN('6. Dívida'!AB13,MAX(0,'5. Caixa'!AB11))*'1. Premissas'!$B$13</f>
        <v>0</v>
      </c>
      <c r="AC9" s="15">
        <f>MIN('6. Dívida'!AC13,MAX(0,'5. Caixa'!AC11))*'1. Premissas'!$B$13</f>
        <v>0</v>
      </c>
      <c r="AD9" s="15">
        <f>MIN('6. Dívida'!AD13,MAX(0,'5. Caixa'!AD11))*'1. Premissas'!$B$13</f>
        <v>0</v>
      </c>
      <c r="AE9" s="15">
        <f>MIN('6. Dívida'!AE13,MAX(0,'5. Caixa'!AE11))*'1. Premissas'!$B$13</f>
        <v>0</v>
      </c>
      <c r="AF9" s="15">
        <f>MIN('6. Dívida'!AF13,MAX(0,'5. Caixa'!AF11))*'1. Premissas'!$B$13</f>
        <v>0</v>
      </c>
      <c r="AG9" s="15">
        <f>MIN('6. Dívida'!AG13,MAX(0,'5. Caixa'!AG11))*'1. Premissas'!$B$13</f>
        <v>0</v>
      </c>
    </row>
    <row r="10" spans="1:33" x14ac:dyDescent="0.35">
      <c r="A10" t="s">
        <v>225</v>
      </c>
      <c r="B10" t="s">
        <v>107</v>
      </c>
      <c r="D10" s="15">
        <f>SUM(D6:D9)</f>
        <v>-106.87972722303482</v>
      </c>
      <c r="E10" s="15">
        <f t="shared" ref="E10:AG10" si="0">SUM(E6:E9)</f>
        <v>101.79227876704881</v>
      </c>
      <c r="F10" s="15">
        <f t="shared" si="0"/>
        <v>-537.98044302713026</v>
      </c>
      <c r="G10" s="15">
        <f t="shared" si="0"/>
        <v>-308.72850281870024</v>
      </c>
      <c r="H10" s="15">
        <f t="shared" si="0"/>
        <v>-283.99504526127373</v>
      </c>
      <c r="I10" s="15">
        <f t="shared" si="0"/>
        <v>-152.72356053656293</v>
      </c>
      <c r="J10" s="15">
        <f t="shared" si="0"/>
        <v>-44.683792830534259</v>
      </c>
      <c r="K10" s="15">
        <f t="shared" si="0"/>
        <v>-14.496124083662522</v>
      </c>
      <c r="L10" s="15">
        <f t="shared" si="0"/>
        <v>61.115001166300573</v>
      </c>
      <c r="M10" s="15">
        <f t="shared" si="0"/>
        <v>181.67535801817121</v>
      </c>
      <c r="N10" s="15">
        <f t="shared" si="0"/>
        <v>239.41475219019682</v>
      </c>
      <c r="O10" s="15">
        <f t="shared" si="0"/>
        <v>280.68585641670711</v>
      </c>
      <c r="P10" s="15">
        <f t="shared" si="0"/>
        <v>197.39222736749974</v>
      </c>
      <c r="Q10" s="15">
        <f t="shared" si="0"/>
        <v>256.17192278699531</v>
      </c>
      <c r="R10" s="15">
        <f t="shared" si="0"/>
        <v>259.75136258386561</v>
      </c>
      <c r="S10" s="15">
        <f t="shared" si="0"/>
        <v>223.98403403955609</v>
      </c>
      <c r="T10" s="15">
        <f t="shared" si="0"/>
        <v>47.706731058584921</v>
      </c>
      <c r="U10" s="15">
        <f t="shared" si="0"/>
        <v>139.98413398036263</v>
      </c>
      <c r="V10" s="15">
        <f t="shared" si="0"/>
        <v>223.33768963463763</v>
      </c>
      <c r="W10" s="15">
        <f t="shared" si="0"/>
        <v>192.34819655957904</v>
      </c>
      <c r="X10" s="15">
        <f t="shared" si="0"/>
        <v>205.37139676587867</v>
      </c>
      <c r="Y10" s="15">
        <f t="shared" si="0"/>
        <v>257.64536203249531</v>
      </c>
      <c r="Z10" s="15">
        <f t="shared" si="0"/>
        <v>105.07661763760598</v>
      </c>
      <c r="AA10" s="15">
        <f t="shared" si="0"/>
        <v>169.06439732632424</v>
      </c>
      <c r="AB10" s="15">
        <f t="shared" si="0"/>
        <v>1134.4221237838331</v>
      </c>
      <c r="AC10" s="15">
        <f t="shared" si="0"/>
        <v>1253.7505772865138</v>
      </c>
      <c r="AD10" s="15">
        <f t="shared" si="0"/>
        <v>1287.5183020801637</v>
      </c>
      <c r="AE10" s="15">
        <f t="shared" si="0"/>
        <v>1355.6094653417626</v>
      </c>
      <c r="AF10" s="15">
        <f t="shared" si="0"/>
        <v>1535.948513068686</v>
      </c>
      <c r="AG10" s="15">
        <f t="shared" si="0"/>
        <v>1878.9835652084162</v>
      </c>
    </row>
    <row r="11" spans="1:33" x14ac:dyDescent="0.35">
      <c r="A11" t="s">
        <v>226</v>
      </c>
      <c r="B11" t="s">
        <v>107</v>
      </c>
      <c r="D11" s="15">
        <f>IF(D$4&lt;'1. Premissas'!$B$18,-MAX(0,D10),0)</f>
        <v>0</v>
      </c>
      <c r="E11" s="15">
        <f>IF(E$4&lt;'1. Premissas'!$B$18,-MAX(0,E10),0)</f>
        <v>-101.79227876704881</v>
      </c>
      <c r="F11" s="15">
        <f>IF(F$4&lt;'1. Premissas'!$B$18,-MAX(0,F10),0)</f>
        <v>0</v>
      </c>
      <c r="G11" s="15">
        <f>IF(G$4&lt;'1. Premissas'!$B$18,-MAX(0,G10),0)</f>
        <v>0</v>
      </c>
      <c r="H11" s="15">
        <f>IF(H$4&lt;'1. Premissas'!$B$18,-MAX(0,H10),0)</f>
        <v>0</v>
      </c>
      <c r="I11" s="15">
        <f>IF(I$4&lt;'1. Premissas'!$B$18,-MAX(0,I10),0)</f>
        <v>0</v>
      </c>
      <c r="J11" s="15">
        <f>IF(J$4&lt;'1. Premissas'!$B$18,-MAX(0,J10),0)</f>
        <v>0</v>
      </c>
      <c r="K11" s="15">
        <f>IF(K$4&lt;'1. Premissas'!$B$18,-MAX(0,K10),0)</f>
        <v>0</v>
      </c>
      <c r="L11" s="15">
        <f>IF(L$4&lt;'1. Premissas'!$B$18,-MAX(0,L10),0)</f>
        <v>0</v>
      </c>
      <c r="M11" s="15">
        <f>IF(M$4&lt;'1. Premissas'!$B$18,-MAX(0,M10),0)</f>
        <v>0</v>
      </c>
      <c r="N11" s="15">
        <f>IF(N$4&lt;'1. Premissas'!$B$18,-MAX(0,N10),0)</f>
        <v>0</v>
      </c>
      <c r="O11" s="15">
        <f>IF(O$4&lt;'1. Premissas'!$B$18,-MAX(0,O10),0)</f>
        <v>0</v>
      </c>
      <c r="P11" s="15">
        <f>IF(P$4&lt;'1. Premissas'!$B$18,-MAX(0,P10),0)</f>
        <v>0</v>
      </c>
      <c r="Q11" s="15">
        <f>IF(Q$4&lt;'1. Premissas'!$B$18,-MAX(0,Q10),0)</f>
        <v>0</v>
      </c>
      <c r="R11" s="15">
        <f>IF(R$4&lt;'1. Premissas'!$B$18,-MAX(0,R10),0)</f>
        <v>0</v>
      </c>
      <c r="S11" s="15">
        <f>IF(S$4&lt;'1. Premissas'!$B$18,-MAX(0,S10),0)</f>
        <v>0</v>
      </c>
      <c r="T11" s="15">
        <f>IF(T$4&lt;'1. Premissas'!$B$18,-MAX(0,T10),0)</f>
        <v>0</v>
      </c>
      <c r="U11" s="15">
        <f>IF(U$4&lt;'1. Premissas'!$B$18,-MAX(0,U10),0)</f>
        <v>0</v>
      </c>
      <c r="V11" s="15">
        <f>IF(V$4&lt;'1. Premissas'!$B$18,-MAX(0,V10),0)</f>
        <v>0</v>
      </c>
      <c r="W11" s="15">
        <f>IF(W$4&lt;'1. Premissas'!$B$18,-MAX(0,W10),0)</f>
        <v>0</v>
      </c>
      <c r="X11" s="15">
        <f>IF(X$4&lt;'1. Premissas'!$B$18,-MAX(0,X10),0)</f>
        <v>0</v>
      </c>
      <c r="Y11" s="15">
        <f>IF(Y$4&lt;'1. Premissas'!$B$18,-MAX(0,Y10),0)</f>
        <v>0</v>
      </c>
      <c r="Z11" s="15">
        <f>IF(Z$4&lt;'1. Premissas'!$B$18,-MAX(0,Z10),0)</f>
        <v>0</v>
      </c>
      <c r="AA11" s="15">
        <f>IF(AA$4&lt;'1. Premissas'!$B$18,-MAX(0,AA10),0)</f>
        <v>0</v>
      </c>
      <c r="AB11" s="15">
        <f>IF(AB$4&lt;'1. Premissas'!$B$18,-MAX(0,AB10),0)</f>
        <v>0</v>
      </c>
      <c r="AC11" s="15">
        <f>IF(AC$4&lt;'1. Premissas'!$B$18,-MAX(0,AC10),0)</f>
        <v>0</v>
      </c>
      <c r="AD11" s="15">
        <f>IF(AD$4&lt;'1. Premissas'!$B$18,-MAX(0,AD10),0)</f>
        <v>0</v>
      </c>
      <c r="AE11" s="15">
        <f>IF(AE$4&lt;'1. Premissas'!$B$18,-MAX(0,AE10),0)</f>
        <v>0</v>
      </c>
      <c r="AF11" s="15">
        <f>IF(AF$4&lt;'1. Premissas'!$B$18,-MAX(0,AF10),0)</f>
        <v>0</v>
      </c>
      <c r="AG11" s="15">
        <f>IF(AG$4&lt;'1. Premissas'!$B$18,-MAX(0,AG10),0)</f>
        <v>0</v>
      </c>
    </row>
    <row r="12" spans="1:33" x14ac:dyDescent="0.35">
      <c r="A12" t="s">
        <v>227</v>
      </c>
      <c r="B12" t="s">
        <v>107</v>
      </c>
      <c r="D12" s="15">
        <f>IF(D$4='1. Premissas'!$B$18,-SUM($D$11:D11),0)</f>
        <v>0</v>
      </c>
      <c r="E12" s="15">
        <f>IF(E$4='1. Premissas'!$B$18,-SUM($D$11:E11),0)</f>
        <v>0</v>
      </c>
      <c r="F12" s="15">
        <f>IF(F$4='1. Premissas'!$B$18,-SUM($D$11:F11),0)</f>
        <v>0</v>
      </c>
      <c r="G12" s="15">
        <f>IF(G$4='1. Premissas'!$B$18,-SUM($D$11:G11),0)</f>
        <v>0</v>
      </c>
      <c r="H12" s="15">
        <f>IF(H$4='1. Premissas'!$B$18,-SUM($D$11:H11),0)</f>
        <v>0</v>
      </c>
      <c r="I12" s="15">
        <f>IF(I$4='1. Premissas'!$B$18,-SUM($D$11:I11),0)</f>
        <v>0</v>
      </c>
      <c r="J12" s="15">
        <f>IF(J$4='1. Premissas'!$B$18,-SUM($D$11:J11),0)</f>
        <v>0</v>
      </c>
      <c r="K12" s="15">
        <f>IF(K$4='1. Premissas'!$B$18,-SUM($D$11:K11),0)</f>
        <v>0</v>
      </c>
      <c r="L12" s="15">
        <f>IF(L$4='1. Premissas'!$B$18,-SUM($D$11:L11),0)</f>
        <v>101.79227876704881</v>
      </c>
      <c r="M12" s="15">
        <f>IF(M$4='1. Premissas'!$B$18,-SUM($D$11:M11),0)</f>
        <v>0</v>
      </c>
      <c r="N12" s="15">
        <f>IF(N$4='1. Premissas'!$B$18,-SUM($D$11:N11),0)</f>
        <v>0</v>
      </c>
      <c r="O12" s="15">
        <f>IF(O$4='1. Premissas'!$B$18,-SUM($D$11:O11),0)</f>
        <v>0</v>
      </c>
      <c r="P12" s="15">
        <f>IF(P$4='1. Premissas'!$B$18,-SUM($D$11:P11),0)</f>
        <v>0</v>
      </c>
      <c r="Q12" s="15">
        <f>IF(Q$4='1. Premissas'!$B$18,-SUM($D$11:Q11),0)</f>
        <v>0</v>
      </c>
      <c r="R12" s="15">
        <f>IF(R$4='1. Premissas'!$B$18,-SUM($D$11:R11),0)</f>
        <v>0</v>
      </c>
      <c r="S12" s="15">
        <f>IF(S$4='1. Premissas'!$B$18,-SUM($D$11:S11),0)</f>
        <v>0</v>
      </c>
      <c r="T12" s="15">
        <f>IF(T$4='1. Premissas'!$B$18,-SUM($D$11:T11),0)</f>
        <v>0</v>
      </c>
      <c r="U12" s="15">
        <f>IF(U$4='1. Premissas'!$B$18,-SUM($D$11:U11),0)</f>
        <v>0</v>
      </c>
      <c r="V12" s="15">
        <f>IF(V$4='1. Premissas'!$B$18,-SUM($D$11:V11),0)</f>
        <v>0</v>
      </c>
      <c r="W12" s="15">
        <f>IF(W$4='1. Premissas'!$B$18,-SUM($D$11:W11),0)</f>
        <v>0</v>
      </c>
      <c r="X12" s="15">
        <f>IF(X$4='1. Premissas'!$B$18,-SUM($D$11:X11),0)</f>
        <v>0</v>
      </c>
      <c r="Y12" s="15">
        <f>IF(Y$4='1. Premissas'!$B$18,-SUM($D$11:Y11),0)</f>
        <v>0</v>
      </c>
      <c r="Z12" s="15">
        <f>IF(Z$4='1. Premissas'!$B$18,-SUM($D$11:Z11),0)</f>
        <v>0</v>
      </c>
      <c r="AA12" s="15">
        <f>IF(AA$4='1. Premissas'!$B$18,-SUM($D$11:AA11),0)</f>
        <v>0</v>
      </c>
      <c r="AB12" s="15">
        <f>IF(AB$4='1. Premissas'!$B$18,-SUM($D$11:AB11),0)</f>
        <v>0</v>
      </c>
      <c r="AC12" s="15">
        <f>IF(AC$4='1. Premissas'!$B$18,-SUM($D$11:AC11),0)</f>
        <v>0</v>
      </c>
      <c r="AD12" s="15">
        <f>IF(AD$4='1. Premissas'!$B$18,-SUM($D$11:AD11),0)</f>
        <v>0</v>
      </c>
      <c r="AE12" s="15">
        <f>IF(AE$4='1. Premissas'!$B$18,-SUM($D$11:AE11),0)</f>
        <v>0</v>
      </c>
      <c r="AF12" s="15">
        <f>IF(AF$4='1. Premissas'!$B$18,-SUM($D$11:AF11),0)</f>
        <v>0</v>
      </c>
      <c r="AG12" s="15">
        <f>IF(AG$4='1. Premissas'!$B$18,-SUM($D$11:AG11),0)</f>
        <v>0</v>
      </c>
    </row>
    <row r="13" spans="1:33" x14ac:dyDescent="0.35">
      <c r="A13" t="s">
        <v>212</v>
      </c>
      <c r="B13" t="s">
        <v>107</v>
      </c>
      <c r="D13" s="15">
        <f>D10+D11+D12</f>
        <v>-106.87972722303482</v>
      </c>
      <c r="E13" s="15">
        <f t="shared" ref="E13:AG13" si="1">E10+E11+E12</f>
        <v>0</v>
      </c>
      <c r="F13" s="15">
        <f t="shared" si="1"/>
        <v>-537.98044302713026</v>
      </c>
      <c r="G13" s="15">
        <f t="shared" si="1"/>
        <v>-308.72850281870024</v>
      </c>
      <c r="H13" s="15">
        <f t="shared" si="1"/>
        <v>-283.99504526127373</v>
      </c>
      <c r="I13" s="15">
        <f t="shared" si="1"/>
        <v>-152.72356053656293</v>
      </c>
      <c r="J13" s="15">
        <f t="shared" si="1"/>
        <v>-44.683792830534259</v>
      </c>
      <c r="K13" s="15">
        <f t="shared" si="1"/>
        <v>-14.496124083662522</v>
      </c>
      <c r="L13" s="15">
        <f t="shared" si="1"/>
        <v>162.9072799333494</v>
      </c>
      <c r="M13" s="15">
        <f t="shared" si="1"/>
        <v>181.67535801817121</v>
      </c>
      <c r="N13" s="15">
        <f t="shared" si="1"/>
        <v>239.41475219019682</v>
      </c>
      <c r="O13" s="15">
        <f t="shared" si="1"/>
        <v>280.68585641670711</v>
      </c>
      <c r="P13" s="15">
        <f t="shared" si="1"/>
        <v>197.39222736749974</v>
      </c>
      <c r="Q13" s="15">
        <f t="shared" si="1"/>
        <v>256.17192278699531</v>
      </c>
      <c r="R13" s="15">
        <f t="shared" si="1"/>
        <v>259.75136258386561</v>
      </c>
      <c r="S13" s="15">
        <f t="shared" si="1"/>
        <v>223.98403403955609</v>
      </c>
      <c r="T13" s="15">
        <f t="shared" si="1"/>
        <v>47.706731058584921</v>
      </c>
      <c r="U13" s="15">
        <f t="shared" si="1"/>
        <v>139.98413398036263</v>
      </c>
      <c r="V13" s="15">
        <f t="shared" si="1"/>
        <v>223.33768963463763</v>
      </c>
      <c r="W13" s="15">
        <f t="shared" si="1"/>
        <v>192.34819655957904</v>
      </c>
      <c r="X13" s="15">
        <f t="shared" si="1"/>
        <v>205.37139676587867</v>
      </c>
      <c r="Y13" s="15">
        <f t="shared" si="1"/>
        <v>257.64536203249531</v>
      </c>
      <c r="Z13" s="15">
        <f t="shared" si="1"/>
        <v>105.07661763760598</v>
      </c>
      <c r="AA13" s="15">
        <f t="shared" si="1"/>
        <v>169.06439732632424</v>
      </c>
      <c r="AB13" s="15">
        <f t="shared" si="1"/>
        <v>1134.4221237838331</v>
      </c>
      <c r="AC13" s="15">
        <f t="shared" si="1"/>
        <v>1253.7505772865138</v>
      </c>
      <c r="AD13" s="15">
        <f t="shared" si="1"/>
        <v>1287.5183020801637</v>
      </c>
      <c r="AE13" s="15">
        <f t="shared" si="1"/>
        <v>1355.6094653417626</v>
      </c>
      <c r="AF13" s="15">
        <f t="shared" si="1"/>
        <v>1535.948513068686</v>
      </c>
      <c r="AG13" s="15">
        <f t="shared" si="1"/>
        <v>1878.9835652084162</v>
      </c>
    </row>
    <row r="14" spans="1:33" x14ac:dyDescent="0.35">
      <c r="A14" s="8" t="s">
        <v>213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x14ac:dyDescent="0.35">
      <c r="A15" t="s">
        <v>214</v>
      </c>
      <c r="B15" t="s">
        <v>107</v>
      </c>
      <c r="C15" s="21">
        <f>IRR('5. Caixa'!D17:AG17)</f>
        <v>7.7117609220106242E-2</v>
      </c>
    </row>
    <row r="16" spans="1:33" x14ac:dyDescent="0.35">
      <c r="A16" t="s">
        <v>215</v>
      </c>
      <c r="B16" t="s">
        <v>107</v>
      </c>
      <c r="C16" s="21">
        <f>IRR(D13:AG13)</f>
        <v>0.12005201425701584</v>
      </c>
    </row>
    <row r="17" spans="1:3" x14ac:dyDescent="0.35">
      <c r="A17" t="s">
        <v>216</v>
      </c>
      <c r="B17" t="s">
        <v>107</v>
      </c>
      <c r="C17" s="24">
        <f>NPV('1. Premissas'!$B$22,D13:AG13)</f>
        <v>0.68054672568176955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topLeftCell="D1" zoomScale="59" workbookViewId="0">
      <selection activeCell="J36" sqref="J36"/>
    </sheetView>
  </sheetViews>
  <sheetFormatPr defaultRowHeight="14.5" x14ac:dyDescent="0.35"/>
  <cols>
    <col min="3" max="3" width="10.08984375" customWidth="1"/>
    <col min="4" max="4" width="9.90625" customWidth="1"/>
  </cols>
  <sheetData>
    <row r="1" spans="1:5" ht="18.5" x14ac:dyDescent="0.45">
      <c r="A1" s="1" t="s">
        <v>29</v>
      </c>
    </row>
    <row r="2" spans="1:5" x14ac:dyDescent="0.35">
      <c r="A2" s="28" t="s">
        <v>242</v>
      </c>
    </row>
    <row r="3" spans="1:5" x14ac:dyDescent="0.35">
      <c r="A3" s="28" t="s">
        <v>243</v>
      </c>
    </row>
    <row r="5" spans="1:5" x14ac:dyDescent="0.35">
      <c r="A5" s="16" t="s">
        <v>232</v>
      </c>
      <c r="B5" s="16" t="s">
        <v>5</v>
      </c>
      <c r="C5" s="16" t="s">
        <v>75</v>
      </c>
      <c r="D5" s="16" t="s">
        <v>76</v>
      </c>
      <c r="E5" s="16" t="s">
        <v>241</v>
      </c>
    </row>
    <row r="6" spans="1:5" x14ac:dyDescent="0.35">
      <c r="A6" s="29">
        <v>0</v>
      </c>
      <c r="B6" s="29">
        <v>0.43769204893604141</v>
      </c>
      <c r="C6" s="29">
        <v>0.12904883012809831</v>
      </c>
      <c r="D6" s="29">
        <v>0.65141421846724423</v>
      </c>
      <c r="E6" s="31">
        <v>0.12</v>
      </c>
    </row>
    <row r="7" spans="1:5" x14ac:dyDescent="0.35">
      <c r="A7" s="29">
        <v>0.05</v>
      </c>
      <c r="B7" s="29">
        <v>0.35644292052342363</v>
      </c>
      <c r="C7" s="29">
        <v>0.1037018157817049</v>
      </c>
      <c r="D7" s="29">
        <v>0.54652691327404579</v>
      </c>
      <c r="E7" s="31">
        <v>0.12</v>
      </c>
    </row>
    <row r="8" spans="1:5" x14ac:dyDescent="0.35">
      <c r="A8" s="29">
        <v>0.1</v>
      </c>
      <c r="B8" s="29">
        <v>0.28583101947615686</v>
      </c>
      <c r="C8" s="29">
        <v>8.3937600986382366E-2</v>
      </c>
      <c r="D8" s="29">
        <v>0.4422650376052637</v>
      </c>
      <c r="E8" s="31">
        <v>0.12</v>
      </c>
    </row>
    <row r="9" spans="1:5" x14ac:dyDescent="0.35">
      <c r="A9" s="29">
        <v>0.15</v>
      </c>
      <c r="B9" s="29">
        <v>0.23389195827876619</v>
      </c>
      <c r="C9" s="29">
        <v>6.7587585069809997E-2</v>
      </c>
      <c r="D9" s="29">
        <v>0.35624119239946861</v>
      </c>
      <c r="E9" s="31">
        <v>0.12</v>
      </c>
    </row>
    <row r="10" spans="1:5" x14ac:dyDescent="0.35">
      <c r="A10" s="29">
        <v>0.2</v>
      </c>
      <c r="B10" s="29">
        <v>0.17124676192049493</v>
      </c>
      <c r="C10" s="29">
        <v>5.3250049779325348E-2</v>
      </c>
      <c r="D10" s="29">
        <v>0.28133646427555803</v>
      </c>
      <c r="E10" s="31">
        <v>0.12</v>
      </c>
    </row>
    <row r="11" spans="1:5" x14ac:dyDescent="0.35">
      <c r="A11" s="30">
        <v>0.25</v>
      </c>
      <c r="B11" s="30">
        <v>0.12221583977416706</v>
      </c>
      <c r="C11" s="30">
        <v>4.0382610060192725E-2</v>
      </c>
      <c r="D11" s="30">
        <v>0.22538257302853237</v>
      </c>
      <c r="E11" s="32">
        <v>0.12</v>
      </c>
    </row>
    <row r="12" spans="1:5" x14ac:dyDescent="0.35">
      <c r="A12" s="29">
        <v>0.3</v>
      </c>
      <c r="B12" s="29">
        <v>9.058216726454793E-2</v>
      </c>
      <c r="C12" s="29">
        <v>2.8622029913001557E-2</v>
      </c>
      <c r="D12" s="29">
        <v>0.18128438857437201</v>
      </c>
      <c r="E12" s="31">
        <v>0.12</v>
      </c>
    </row>
    <row r="13" spans="1:5" x14ac:dyDescent="0.35">
      <c r="A13" s="29">
        <v>0.35</v>
      </c>
      <c r="B13" s="29">
        <v>6.726951599893316E-2</v>
      </c>
      <c r="C13" s="29">
        <v>1.7373489125428021E-2</v>
      </c>
      <c r="D13" s="29">
        <v>0.12086581354363202</v>
      </c>
      <c r="E13" s="31">
        <v>0.12</v>
      </c>
    </row>
    <row r="14" spans="1:5" x14ac:dyDescent="0.35">
      <c r="A14" s="29">
        <v>0.4</v>
      </c>
      <c r="B14" s="29">
        <v>4.8017358882562089E-2</v>
      </c>
      <c r="C14" s="29">
        <v>6.3323550590068667E-3</v>
      </c>
      <c r="D14" s="29">
        <v>8.4026680649877061E-2</v>
      </c>
      <c r="E14" s="31">
        <v>0.12</v>
      </c>
    </row>
  </sheetData>
  <conditionalFormatting sqref="B6:D14">
    <cfRule type="cellIs" dxfId="3" priority="1" operator="greaterThan">
      <formula>$E$6</formula>
    </cfRule>
  </conditionalFormatting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>
      <selection activeCell="A18" sqref="A18"/>
    </sheetView>
  </sheetViews>
  <sheetFormatPr defaultRowHeight="14.5" x14ac:dyDescent="0.35"/>
  <cols>
    <col min="1" max="1" width="24.90625" customWidth="1"/>
    <col min="3" max="3" width="11.7265625" bestFit="1" customWidth="1"/>
  </cols>
  <sheetData>
    <row r="1" spans="1:3" ht="18.5" x14ac:dyDescent="0.45">
      <c r="A1" s="1" t="s">
        <v>30</v>
      </c>
    </row>
    <row r="2" spans="1:3" x14ac:dyDescent="0.35">
      <c r="A2" s="3" t="s">
        <v>217</v>
      </c>
    </row>
    <row r="4" spans="1:3" x14ac:dyDescent="0.35">
      <c r="A4" s="27" t="s">
        <v>239</v>
      </c>
      <c r="B4" s="27" t="s">
        <v>34</v>
      </c>
      <c r="C4" s="27" t="s">
        <v>240</v>
      </c>
    </row>
    <row r="5" spans="1:3" x14ac:dyDescent="0.35">
      <c r="A5" t="s">
        <v>233</v>
      </c>
      <c r="B5">
        <f>'6. Dívida'!AG12</f>
        <v>0</v>
      </c>
      <c r="C5" t="b">
        <f>ABS(B5)&lt;0.01</f>
        <v>1</v>
      </c>
    </row>
    <row r="6" spans="1:3" x14ac:dyDescent="0.35">
      <c r="A6" t="s">
        <v>234</v>
      </c>
      <c r="B6">
        <f>SUM('6. Dívida'!D10:AG10)-'6. Dívida'!C21</f>
        <v>0</v>
      </c>
      <c r="C6" t="b">
        <f>ABS(B6)&lt;0.01</f>
        <v>1</v>
      </c>
    </row>
    <row r="7" spans="1:3" x14ac:dyDescent="0.35">
      <c r="A7" t="s">
        <v>235</v>
      </c>
      <c r="B7">
        <f>MIN('6. Dívida'!L15:AA15)</f>
        <v>1.3</v>
      </c>
      <c r="C7" t="b">
        <f>B7&gt;='1. Premissas'!B17-0.001</f>
        <v>1</v>
      </c>
    </row>
    <row r="8" spans="1:3" x14ac:dyDescent="0.35">
      <c r="A8" t="s">
        <v>236</v>
      </c>
      <c r="B8">
        <f>SUM('7. Retornos'!D11:AG12)</f>
        <v>0</v>
      </c>
      <c r="C8" t="b">
        <f>ABS(B8)&lt;0.01</f>
        <v>1</v>
      </c>
    </row>
    <row r="9" spans="1:3" x14ac:dyDescent="0.35">
      <c r="A9" t="s">
        <v>237</v>
      </c>
      <c r="B9">
        <f>SUM('4. Custos'!D10:AG10)-SUM(Dados_MEF!D40:AG40)*'2. Cenários'!E6</f>
        <v>0</v>
      </c>
      <c r="C9" t="b">
        <f>ABS(B9)&lt;0.01</f>
        <v>1</v>
      </c>
    </row>
    <row r="10" spans="1:3" x14ac:dyDescent="0.35">
      <c r="A10" t="s">
        <v>238</v>
      </c>
      <c r="C10" t="b">
        <f>AND(C5:C9)</f>
        <v>1</v>
      </c>
    </row>
  </sheetData>
  <conditionalFormatting sqref="C5:C10">
    <cfRule type="containsText" dxfId="2" priority="1" operator="containsText" text="VERDADEIRO">
      <formula>NOT(ISERROR(SEARCH("VERDADEIRO",C5)))</formula>
    </cfRule>
    <cfRule type="containsText" dxfId="1" priority="2" operator="containsText" text="FALSO">
      <formula>NOT(ISERROR(SEARCH("FALSO",C5)))</formula>
    </cfRule>
    <cfRule type="cellIs" dxfId="0" priority="3" operator="notEqual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0. Capa</vt:lpstr>
      <vt:lpstr>1. Premissas</vt:lpstr>
      <vt:lpstr>2. Cenários</vt:lpstr>
      <vt:lpstr>Dados_MEF</vt:lpstr>
      <vt:lpstr>3. Receita</vt:lpstr>
      <vt:lpstr>4. Custos</vt:lpstr>
      <vt:lpstr>5. Caixa</vt:lpstr>
      <vt:lpstr>6. Dívida</vt:lpstr>
      <vt:lpstr>7. Retornos</vt:lpstr>
      <vt:lpstr>8. Sensibilidades</vt:lpstr>
      <vt:lpstr>9. Checagens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Gama</cp:lastModifiedBy>
  <dcterms:created xsi:type="dcterms:W3CDTF">2026-10-24T01:15:08Z</dcterms:created>
  <dcterms:modified xsi:type="dcterms:W3CDTF">2026-10-26T22:41:11Z</dcterms:modified>
</cp:coreProperties>
</file>